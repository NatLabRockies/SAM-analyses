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irletz\source\repos\sam_dev\SAM-analyses\2025\battwatts_sensitivity\"/>
    </mc:Choice>
  </mc:AlternateContent>
  <xr:revisionPtr revIDLastSave="0" documentId="13_ncr:9_{A14BBC6B-72F0-4D87-B983-CA3E09CCAF54}" xr6:coauthVersionLast="47" xr6:coauthVersionMax="47" xr10:uidLastSave="{00000000-0000-0000-0000-000000000000}"/>
  <bookViews>
    <workbookView xWindow="28680" yWindow="-120" windowWidth="29040" windowHeight="15720" xr2:uid="{DC1DEF8C-FE55-4C7A-9F2D-DF518664A673}"/>
  </bookViews>
  <sheets>
    <sheet name="battwatts_sensitivity_outputs_r" sheetId="1" r:id="rId1"/>
  </sheets>
  <calcPr calcId="0"/>
</workbook>
</file>

<file path=xl/calcChain.xml><?xml version="1.0" encoding="utf-8"?>
<calcChain xmlns="http://schemas.openxmlformats.org/spreadsheetml/2006/main">
  <c r="O191" i="1" l="1"/>
  <c r="O189" i="1"/>
  <c r="O187" i="1"/>
  <c r="O185" i="1"/>
  <c r="O183" i="1"/>
  <c r="O131" i="1"/>
  <c r="O129" i="1"/>
  <c r="O127" i="1"/>
  <c r="O125" i="1"/>
  <c r="O123" i="1"/>
  <c r="O71" i="1"/>
  <c r="O69" i="1"/>
  <c r="O67" i="1"/>
  <c r="O65" i="1"/>
  <c r="O63" i="1"/>
  <c r="O11" i="1"/>
  <c r="O9" i="1"/>
  <c r="O7" i="1"/>
  <c r="O5" i="1"/>
  <c r="O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<sst xmlns="http://schemas.openxmlformats.org/spreadsheetml/2006/main" count="975" uniqueCount="29">
  <si>
    <t>state_long</t>
  </si>
  <si>
    <t>state_short</t>
  </si>
  <si>
    <t>utility</t>
  </si>
  <si>
    <t>building_id</t>
  </si>
  <si>
    <t>latitude</t>
  </si>
  <si>
    <t>longitude</t>
  </si>
  <si>
    <t>year</t>
  </si>
  <si>
    <t>reserve</t>
  </si>
  <si>
    <t>run_type</t>
  </si>
  <si>
    <t>savings_year1</t>
  </si>
  <si>
    <t>annual_energy</t>
  </si>
  <si>
    <t>npv</t>
  </si>
  <si>
    <t>year_1_bill</t>
  </si>
  <si>
    <t>arizona</t>
  </si>
  <si>
    <t>AZ</t>
  </si>
  <si>
    <t>aps</t>
  </si>
  <si>
    <t>tmy</t>
  </si>
  <si>
    <t>amy</t>
  </si>
  <si>
    <t>california</t>
  </si>
  <si>
    <t>CA</t>
  </si>
  <si>
    <t>sdge</t>
  </si>
  <si>
    <t>colorado</t>
  </si>
  <si>
    <t>CO</t>
  </si>
  <si>
    <t>xcel</t>
  </si>
  <si>
    <t>ohio</t>
  </si>
  <si>
    <t>OH</t>
  </si>
  <si>
    <t>aep</t>
  </si>
  <si>
    <t>Savings percent</t>
  </si>
  <si>
    <t>Avg Savings 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</si>
</sst>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battwatts_sensitivity_outputs_r!$O$1</c:f>
              <c:strCache>
                <c:ptCount val="1"/>
                <c:pt idx="0">
                  <c:v>Avg Savings AMY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5"/>
              <c:pt idx="0">
                <c:v>0</c:v>
              </c:pt>
              <c:pt idx="1">
                <c:v>20</c:v>
              </c:pt>
              <c:pt idx="2">
                <c:v>40</c:v>
              </c:pt>
              <c:pt idx="3">
                <c:v>60</c:v>
              </c:pt>
              <c:pt idx="4">
                <c:v>80</c:v>
              </c:pt>
            </c:numLit>
          </c:cat>
          <c:val>
            <c:numRef>
              <c:f>(battwatts_sensitivity_outputs_r!$O$3,battwatts_sensitivity_outputs_r!$O$5,battwatts_sensitivity_outputs_r!$O$7,battwatts_sensitivity_outputs_r!$O$9,battwatts_sensitivity_outputs_r!$O$11)</c:f>
              <c:numCache>
                <c:formatCode>General</c:formatCode>
                <c:ptCount val="5"/>
                <c:pt idx="0">
                  <c:v>0.99425801807761671</c:v>
                </c:pt>
                <c:pt idx="1">
                  <c:v>1</c:v>
                </c:pt>
                <c:pt idx="2">
                  <c:v>0.9698525309667172</c:v>
                </c:pt>
                <c:pt idx="3">
                  <c:v>0.88766434843405018</c:v>
                </c:pt>
                <c:pt idx="4">
                  <c:v>0.82170829810705925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3-4666-A6E8-24AC857A2CF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356328"/>
        <c:axId val="819356688"/>
      </c:lineChart>
      <c:catAx>
        <c:axId val="81935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56688"/>
        <c:crosses val="autoZero"/>
        <c:auto val="1"/>
        <c:lblAlgn val="ctr"/>
        <c:lblOffset val="100"/>
        <c:noMultiLvlLbl val="0"/>
      </c:catAx>
      <c:valAx>
        <c:axId val="8193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5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171450</xdr:colOff>
      <xdr:row>7</xdr:row>
      <xdr:rowOff>130492</xdr:rowOff>
    </xdr:from>
    <xdr:to>
      <xdr:col>23</xdr:col>
      <xdr:colOff>476250</xdr:colOff>
      <xdr:row>22</xdr:row>
      <xdr:rowOff>155257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8530B-78E6-CCB1-C557-C630CE410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9846-135A-482F-B21B-53950E4DC109}">
  <dimension ref="A1:O241"/>
  <sheetViews>
    <sheetView tabSelected="1" workbookViewId="0">
      <selection activeCell="W27" sqref="W27"/>
    </sheetView>
  </sheetViews>
  <sheetFormatPr defaultRowHeight="14.4" x14ac:dyDescent="0.3"/>
  <cols>
    <col min="10" max="10" width="21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27</v>
      </c>
      <c r="O1" t="s">
        <v>28</v>
      </c>
    </row>
    <row r="2" spans="1:15" x14ac:dyDescent="0.3">
      <c r="A2" t="s">
        <v>13</v>
      </c>
      <c r="B2" t="s">
        <v>14</v>
      </c>
      <c r="C2" t="s">
        <v>15</v>
      </c>
      <c r="D2">
        <v>112157</v>
      </c>
      <c r="E2">
        <v>35.14</v>
      </c>
      <c r="F2">
        <v>-111.67</v>
      </c>
      <c r="G2">
        <v>2018</v>
      </c>
      <c r="H2">
        <v>0</v>
      </c>
      <c r="I2" t="s">
        <v>16</v>
      </c>
      <c r="J2">
        <v>1178.04103259669</v>
      </c>
      <c r="K2">
        <v>11170.3996829197</v>
      </c>
      <c r="L2">
        <v>-9451.6015740742096</v>
      </c>
      <c r="M2">
        <v>452.82365223317902</v>
      </c>
      <c r="N2">
        <f>J2/J4</f>
        <v>1.0025800563660197</v>
      </c>
    </row>
    <row r="3" spans="1:15" x14ac:dyDescent="0.3">
      <c r="A3" t="s">
        <v>13</v>
      </c>
      <c r="B3" t="s">
        <v>14</v>
      </c>
      <c r="C3" t="s">
        <v>15</v>
      </c>
      <c r="D3">
        <v>112157</v>
      </c>
      <c r="E3">
        <v>35.14</v>
      </c>
      <c r="F3">
        <v>-111.67</v>
      </c>
      <c r="G3">
        <v>2018</v>
      </c>
      <c r="H3">
        <v>0</v>
      </c>
      <c r="I3" t="s">
        <v>17</v>
      </c>
      <c r="J3">
        <v>1245.2261467558101</v>
      </c>
      <c r="K3">
        <v>11156.2349254536</v>
      </c>
      <c r="L3">
        <v>-8571.6014674568505</v>
      </c>
      <c r="M3">
        <v>385.63853807405701</v>
      </c>
      <c r="N3">
        <f>J3/J5</f>
        <v>0.9876565790534968</v>
      </c>
      <c r="O3">
        <f>AVERAGE(N3,N13,N23,N33,N43,N53)</f>
        <v>0.99425801807761671</v>
      </c>
    </row>
    <row r="4" spans="1:15" x14ac:dyDescent="0.3">
      <c r="A4" t="s">
        <v>13</v>
      </c>
      <c r="B4" t="s">
        <v>14</v>
      </c>
      <c r="C4" t="s">
        <v>15</v>
      </c>
      <c r="D4">
        <v>112157</v>
      </c>
      <c r="E4">
        <v>35.14</v>
      </c>
      <c r="F4">
        <v>-111.67</v>
      </c>
      <c r="G4">
        <v>2018</v>
      </c>
      <c r="H4">
        <v>20</v>
      </c>
      <c r="I4" t="s">
        <v>16</v>
      </c>
      <c r="J4">
        <v>1175.0094420057101</v>
      </c>
      <c r="K4">
        <v>11218.4075960799</v>
      </c>
      <c r="L4">
        <v>-9525.0104706285492</v>
      </c>
      <c r="M4">
        <v>455.85524282415997</v>
      </c>
      <c r="N4">
        <f>J4/J4</f>
        <v>1</v>
      </c>
    </row>
    <row r="5" spans="1:15" x14ac:dyDescent="0.3">
      <c r="A5" t="s">
        <v>13</v>
      </c>
      <c r="B5" t="s">
        <v>14</v>
      </c>
      <c r="C5" t="s">
        <v>15</v>
      </c>
      <c r="D5">
        <v>112157</v>
      </c>
      <c r="E5">
        <v>35.14</v>
      </c>
      <c r="F5">
        <v>-111.67</v>
      </c>
      <c r="G5">
        <v>2018</v>
      </c>
      <c r="H5">
        <v>20</v>
      </c>
      <c r="I5" t="s">
        <v>17</v>
      </c>
      <c r="J5">
        <v>1260.78859105981</v>
      </c>
      <c r="K5">
        <v>11204.116720308601</v>
      </c>
      <c r="L5">
        <v>-8253.1003734550395</v>
      </c>
      <c r="M5">
        <v>370.07609377006099</v>
      </c>
      <c r="N5">
        <f>J5/J5</f>
        <v>1</v>
      </c>
      <c r="O5">
        <f>AVERAGE(N5,N15,N25,N35,N45,N55)</f>
        <v>1</v>
      </c>
    </row>
    <row r="6" spans="1:15" x14ac:dyDescent="0.3">
      <c r="A6" t="s">
        <v>13</v>
      </c>
      <c r="B6" t="s">
        <v>14</v>
      </c>
      <c r="C6" t="s">
        <v>15</v>
      </c>
      <c r="D6">
        <v>112157</v>
      </c>
      <c r="E6">
        <v>35.14</v>
      </c>
      <c r="F6">
        <v>-111.67</v>
      </c>
      <c r="G6">
        <v>2018</v>
      </c>
      <c r="H6">
        <v>40</v>
      </c>
      <c r="I6" t="s">
        <v>16</v>
      </c>
      <c r="J6">
        <v>1103.90191124998</v>
      </c>
      <c r="K6">
        <v>11240.7956159327</v>
      </c>
      <c r="L6">
        <v>-10219.389009417</v>
      </c>
      <c r="M6">
        <v>526.962773579893</v>
      </c>
      <c r="N6">
        <f>J6/J4</f>
        <v>0.93948343884424335</v>
      </c>
    </row>
    <row r="7" spans="1:15" x14ac:dyDescent="0.3">
      <c r="A7" t="s">
        <v>13</v>
      </c>
      <c r="B7" t="s">
        <v>14</v>
      </c>
      <c r="C7" t="s">
        <v>15</v>
      </c>
      <c r="D7">
        <v>112157</v>
      </c>
      <c r="E7">
        <v>35.14</v>
      </c>
      <c r="F7">
        <v>-111.67</v>
      </c>
      <c r="G7">
        <v>2018</v>
      </c>
      <c r="H7">
        <v>40</v>
      </c>
      <c r="I7" t="s">
        <v>17</v>
      </c>
      <c r="J7">
        <v>1244.20285485963</v>
      </c>
      <c r="K7">
        <v>11220.951447142101</v>
      </c>
      <c r="L7">
        <v>-8972.7168562395509</v>
      </c>
      <c r="M7">
        <v>386.66182997023901</v>
      </c>
      <c r="N7">
        <f>J7/J5</f>
        <v>0.98684495059854704</v>
      </c>
      <c r="O7">
        <f>AVERAGE(N7,N17,N27,N37,N47,N57)</f>
        <v>0.9698525309667172</v>
      </c>
    </row>
    <row r="8" spans="1:15" x14ac:dyDescent="0.3">
      <c r="A8" t="s">
        <v>13</v>
      </c>
      <c r="B8" t="s">
        <v>14</v>
      </c>
      <c r="C8" t="s">
        <v>15</v>
      </c>
      <c r="D8">
        <v>112157</v>
      </c>
      <c r="E8">
        <v>35.14</v>
      </c>
      <c r="F8">
        <v>-111.67</v>
      </c>
      <c r="G8">
        <v>2018</v>
      </c>
      <c r="H8">
        <v>60</v>
      </c>
      <c r="I8" t="s">
        <v>16</v>
      </c>
      <c r="J8">
        <v>1046.9950369160399</v>
      </c>
      <c r="K8">
        <v>11263.500066774301</v>
      </c>
      <c r="L8">
        <v>-10809.174351596601</v>
      </c>
      <c r="M8">
        <v>583.86964791383002</v>
      </c>
      <c r="N8">
        <f>J8/J4</f>
        <v>0.89105244561171104</v>
      </c>
    </row>
    <row r="9" spans="1:15" x14ac:dyDescent="0.3">
      <c r="A9" t="s">
        <v>13</v>
      </c>
      <c r="B9" t="s">
        <v>14</v>
      </c>
      <c r="C9" t="s">
        <v>15</v>
      </c>
      <c r="D9">
        <v>112157</v>
      </c>
      <c r="E9">
        <v>35.14</v>
      </c>
      <c r="F9">
        <v>-111.67</v>
      </c>
      <c r="G9">
        <v>2018</v>
      </c>
      <c r="H9">
        <v>60</v>
      </c>
      <c r="I9" t="s">
        <v>17</v>
      </c>
      <c r="J9">
        <v>1126.6156270783699</v>
      </c>
      <c r="K9">
        <v>11246.597334558401</v>
      </c>
      <c r="L9">
        <v>-9924.1640518292497</v>
      </c>
      <c r="M9">
        <v>504.2490577515</v>
      </c>
      <c r="N9">
        <f>J9/J5</f>
        <v>0.89358012522253616</v>
      </c>
      <c r="O9">
        <f>AVERAGE(N9,N19,N29,N39,N49,N59)</f>
        <v>0.88766434843405018</v>
      </c>
    </row>
    <row r="10" spans="1:15" x14ac:dyDescent="0.3">
      <c r="A10" t="s">
        <v>13</v>
      </c>
      <c r="B10" t="s">
        <v>14</v>
      </c>
      <c r="C10" t="s">
        <v>15</v>
      </c>
      <c r="D10">
        <v>112157</v>
      </c>
      <c r="E10">
        <v>35.14</v>
      </c>
      <c r="F10">
        <v>-111.67</v>
      </c>
      <c r="G10">
        <v>2018</v>
      </c>
      <c r="H10">
        <v>80</v>
      </c>
      <c r="I10" t="s">
        <v>16</v>
      </c>
      <c r="J10">
        <v>997.87047637600404</v>
      </c>
      <c r="K10">
        <v>11309.001769794</v>
      </c>
      <c r="L10">
        <v>-11278.304159307199</v>
      </c>
      <c r="M10">
        <v>632.99420845386999</v>
      </c>
      <c r="N10">
        <f>J10/J4</f>
        <v>0.84924464493890828</v>
      </c>
    </row>
    <row r="11" spans="1:15" x14ac:dyDescent="0.3">
      <c r="A11" t="s">
        <v>13</v>
      </c>
      <c r="B11" t="s">
        <v>14</v>
      </c>
      <c r="C11" t="s">
        <v>15</v>
      </c>
      <c r="D11">
        <v>112157</v>
      </c>
      <c r="E11">
        <v>35.14</v>
      </c>
      <c r="F11">
        <v>-111.67</v>
      </c>
      <c r="G11">
        <v>2018</v>
      </c>
      <c r="H11">
        <v>80</v>
      </c>
      <c r="I11" t="s">
        <v>17</v>
      </c>
      <c r="J11">
        <v>1023.40053810651</v>
      </c>
      <c r="K11">
        <v>11289.904782985799</v>
      </c>
      <c r="L11">
        <v>-10942.293443663801</v>
      </c>
      <c r="M11">
        <v>607.46414672336505</v>
      </c>
      <c r="N11">
        <f>J11/J5</f>
        <v>0.81171462477007883</v>
      </c>
      <c r="O11">
        <f>AVERAGE(N11,N21,N31,N41,N51,N61)</f>
        <v>0.82170829810705925</v>
      </c>
    </row>
    <row r="12" spans="1:15" x14ac:dyDescent="0.3">
      <c r="A12" t="s">
        <v>13</v>
      </c>
      <c r="B12" t="s">
        <v>14</v>
      </c>
      <c r="C12" t="s">
        <v>15</v>
      </c>
      <c r="D12">
        <v>112157</v>
      </c>
      <c r="E12">
        <v>35.14</v>
      </c>
      <c r="F12">
        <v>-111.67</v>
      </c>
      <c r="G12">
        <v>2019</v>
      </c>
      <c r="H12">
        <v>0</v>
      </c>
      <c r="I12" t="s">
        <v>16</v>
      </c>
      <c r="J12">
        <v>1190.63688640945</v>
      </c>
      <c r="K12">
        <v>11168.570594258799</v>
      </c>
      <c r="L12">
        <v>-9141.6188210378805</v>
      </c>
      <c r="M12">
        <v>395.74609544773301</v>
      </c>
      <c r="N12">
        <f t="shared" ref="N12:N13" si="0">J12/J14</f>
        <v>0.99415992205233705</v>
      </c>
    </row>
    <row r="13" spans="1:15" x14ac:dyDescent="0.3">
      <c r="A13" t="s">
        <v>13</v>
      </c>
      <c r="B13" t="s">
        <v>14</v>
      </c>
      <c r="C13" t="s">
        <v>15</v>
      </c>
      <c r="D13">
        <v>112157</v>
      </c>
      <c r="E13">
        <v>35.14</v>
      </c>
      <c r="F13">
        <v>-111.67</v>
      </c>
      <c r="G13">
        <v>2019</v>
      </c>
      <c r="H13">
        <v>0</v>
      </c>
      <c r="I13" t="s">
        <v>17</v>
      </c>
      <c r="J13">
        <v>1226.9018689183599</v>
      </c>
      <c r="K13">
        <v>11178.183862493601</v>
      </c>
      <c r="L13">
        <v>-8816.2840543808197</v>
      </c>
      <c r="M13">
        <v>359.48111293882903</v>
      </c>
      <c r="N13">
        <f t="shared" si="0"/>
        <v>0.98939059638128968</v>
      </c>
    </row>
    <row r="14" spans="1:15" x14ac:dyDescent="0.3">
      <c r="A14" t="s">
        <v>13</v>
      </c>
      <c r="B14" t="s">
        <v>14</v>
      </c>
      <c r="C14" t="s">
        <v>15</v>
      </c>
      <c r="D14">
        <v>112157</v>
      </c>
      <c r="E14">
        <v>35.14</v>
      </c>
      <c r="F14">
        <v>-111.67</v>
      </c>
      <c r="G14">
        <v>2019</v>
      </c>
      <c r="H14">
        <v>20</v>
      </c>
      <c r="I14" t="s">
        <v>16</v>
      </c>
      <c r="J14">
        <v>1197.63114565261</v>
      </c>
      <c r="K14">
        <v>11222.646006171801</v>
      </c>
      <c r="L14">
        <v>-9316.80565622008</v>
      </c>
      <c r="M14">
        <v>388.75183620458102</v>
      </c>
      <c r="N14">
        <f t="shared" ref="N14:N77" si="1">J14/J14</f>
        <v>1</v>
      </c>
    </row>
    <row r="15" spans="1:15" x14ac:dyDescent="0.3">
      <c r="A15" t="s">
        <v>13</v>
      </c>
      <c r="B15" t="s">
        <v>14</v>
      </c>
      <c r="C15" t="s">
        <v>15</v>
      </c>
      <c r="D15">
        <v>112157</v>
      </c>
      <c r="E15">
        <v>35.14</v>
      </c>
      <c r="F15">
        <v>-111.67</v>
      </c>
      <c r="G15">
        <v>2019</v>
      </c>
      <c r="H15">
        <v>20</v>
      </c>
      <c r="I15" t="s">
        <v>17</v>
      </c>
      <c r="J15">
        <v>1240.0581463031599</v>
      </c>
      <c r="K15">
        <v>11230.421714399899</v>
      </c>
      <c r="L15">
        <v>-8800.6565899387097</v>
      </c>
      <c r="M15">
        <v>346.32483555402302</v>
      </c>
      <c r="N15">
        <f t="shared" si="1"/>
        <v>1</v>
      </c>
    </row>
    <row r="16" spans="1:15" x14ac:dyDescent="0.3">
      <c r="A16" t="s">
        <v>13</v>
      </c>
      <c r="B16" t="s">
        <v>14</v>
      </c>
      <c r="C16" t="s">
        <v>15</v>
      </c>
      <c r="D16">
        <v>112157</v>
      </c>
      <c r="E16">
        <v>35.14</v>
      </c>
      <c r="F16">
        <v>-111.67</v>
      </c>
      <c r="G16">
        <v>2019</v>
      </c>
      <c r="H16">
        <v>40</v>
      </c>
      <c r="I16" t="s">
        <v>16</v>
      </c>
      <c r="J16">
        <v>1158.13411976732</v>
      </c>
      <c r="K16">
        <v>11239.9220781519</v>
      </c>
      <c r="L16">
        <v>-9841.6872218767294</v>
      </c>
      <c r="M16">
        <v>428.24886208986601</v>
      </c>
      <c r="N16">
        <f t="shared" ref="N16:N17" si="2">J16/J14</f>
        <v>0.96702070914850213</v>
      </c>
    </row>
    <row r="17" spans="1:14" x14ac:dyDescent="0.3">
      <c r="A17" t="s">
        <v>13</v>
      </c>
      <c r="B17" t="s">
        <v>14</v>
      </c>
      <c r="C17" t="s">
        <v>15</v>
      </c>
      <c r="D17">
        <v>112157</v>
      </c>
      <c r="E17">
        <v>35.14</v>
      </c>
      <c r="F17">
        <v>-111.67</v>
      </c>
      <c r="G17">
        <v>2019</v>
      </c>
      <c r="H17">
        <v>40</v>
      </c>
      <c r="I17" t="s">
        <v>17</v>
      </c>
      <c r="J17">
        <v>1198.1797635441101</v>
      </c>
      <c r="K17">
        <v>11245.450440128699</v>
      </c>
      <c r="L17">
        <v>-9500.6378472023807</v>
      </c>
      <c r="M17">
        <v>388.20321831307598</v>
      </c>
      <c r="N17">
        <f t="shared" si="2"/>
        <v>0.9662286942883308</v>
      </c>
    </row>
    <row r="18" spans="1:14" x14ac:dyDescent="0.3">
      <c r="A18" t="s">
        <v>13</v>
      </c>
      <c r="B18" t="s">
        <v>14</v>
      </c>
      <c r="C18" t="s">
        <v>15</v>
      </c>
      <c r="D18">
        <v>112157</v>
      </c>
      <c r="E18">
        <v>35.14</v>
      </c>
      <c r="F18">
        <v>-111.67</v>
      </c>
      <c r="G18">
        <v>2019</v>
      </c>
      <c r="H18">
        <v>60</v>
      </c>
      <c r="I18" t="s">
        <v>16</v>
      </c>
      <c r="J18">
        <v>1079.87607182236</v>
      </c>
      <c r="K18">
        <v>11263.333817413401</v>
      </c>
      <c r="L18">
        <v>-10380.4653235568</v>
      </c>
      <c r="M18">
        <v>506.50691003482598</v>
      </c>
      <c r="N18">
        <f t="shared" ref="N18:N19" si="3">J18/J14</f>
        <v>0.90167667711573818</v>
      </c>
    </row>
    <row r="19" spans="1:14" x14ac:dyDescent="0.3">
      <c r="A19" t="s">
        <v>13</v>
      </c>
      <c r="B19" t="s">
        <v>14</v>
      </c>
      <c r="C19" t="s">
        <v>15</v>
      </c>
      <c r="D19">
        <v>112157</v>
      </c>
      <c r="E19">
        <v>35.14</v>
      </c>
      <c r="F19">
        <v>-111.67</v>
      </c>
      <c r="G19">
        <v>2019</v>
      </c>
      <c r="H19">
        <v>60</v>
      </c>
      <c r="I19" t="s">
        <v>17</v>
      </c>
      <c r="J19">
        <v>1056.7937523626199</v>
      </c>
      <c r="K19">
        <v>11276.3299967599</v>
      </c>
      <c r="L19">
        <v>-10585.039050375801</v>
      </c>
      <c r="M19">
        <v>529.58922949456303</v>
      </c>
      <c r="N19">
        <f t="shared" si="3"/>
        <v>0.85221306397052055</v>
      </c>
    </row>
    <row r="20" spans="1:14" x14ac:dyDescent="0.3">
      <c r="A20" t="s">
        <v>13</v>
      </c>
      <c r="B20" t="s">
        <v>14</v>
      </c>
      <c r="C20" t="s">
        <v>15</v>
      </c>
      <c r="D20">
        <v>112157</v>
      </c>
      <c r="E20">
        <v>35.14</v>
      </c>
      <c r="F20">
        <v>-111.67</v>
      </c>
      <c r="G20">
        <v>2019</v>
      </c>
      <c r="H20">
        <v>80</v>
      </c>
      <c r="I20" t="s">
        <v>16</v>
      </c>
      <c r="J20">
        <v>1012.00661804903</v>
      </c>
      <c r="K20">
        <v>11308.280136376399</v>
      </c>
      <c r="L20">
        <v>-11126.6483147449</v>
      </c>
      <c r="M20">
        <v>574.37636380815604</v>
      </c>
      <c r="N20">
        <f t="shared" ref="N20:N21" si="4">J20/J14</f>
        <v>0.84500693032458662</v>
      </c>
    </row>
    <row r="21" spans="1:14" x14ac:dyDescent="0.3">
      <c r="A21" t="s">
        <v>13</v>
      </c>
      <c r="B21" t="s">
        <v>14</v>
      </c>
      <c r="C21" t="s">
        <v>15</v>
      </c>
      <c r="D21">
        <v>112157</v>
      </c>
      <c r="E21">
        <v>35.14</v>
      </c>
      <c r="F21">
        <v>-111.67</v>
      </c>
      <c r="G21">
        <v>2019</v>
      </c>
      <c r="H21">
        <v>80</v>
      </c>
      <c r="I21" t="s">
        <v>17</v>
      </c>
      <c r="J21">
        <v>1026.21908896322</v>
      </c>
      <c r="K21">
        <v>11315.357440751701</v>
      </c>
      <c r="L21">
        <v>-11031.081810034801</v>
      </c>
      <c r="M21">
        <v>560.16389289396795</v>
      </c>
      <c r="N21">
        <f t="shared" si="4"/>
        <v>0.82755723352373978</v>
      </c>
    </row>
    <row r="22" spans="1:14" x14ac:dyDescent="0.3">
      <c r="A22" t="s">
        <v>13</v>
      </c>
      <c r="B22" t="s">
        <v>14</v>
      </c>
      <c r="C22" t="s">
        <v>15</v>
      </c>
      <c r="D22">
        <v>112157</v>
      </c>
      <c r="E22">
        <v>35.14</v>
      </c>
      <c r="F22">
        <v>-111.67</v>
      </c>
      <c r="G22">
        <v>2020</v>
      </c>
      <c r="H22">
        <v>0</v>
      </c>
      <c r="I22" t="s">
        <v>16</v>
      </c>
      <c r="J22">
        <v>1141.5355659873701</v>
      </c>
      <c r="K22">
        <v>11157.646778298</v>
      </c>
      <c r="L22">
        <v>-10127.327003894199</v>
      </c>
      <c r="M22">
        <v>575.399725861712</v>
      </c>
      <c r="N22">
        <f t="shared" ref="N22:N23" si="5">J22/J24</f>
        <v>1.0062574436257996</v>
      </c>
    </row>
    <row r="23" spans="1:14" x14ac:dyDescent="0.3">
      <c r="A23" t="s">
        <v>13</v>
      </c>
      <c r="B23" t="s">
        <v>14</v>
      </c>
      <c r="C23" t="s">
        <v>15</v>
      </c>
      <c r="D23">
        <v>112157</v>
      </c>
      <c r="E23">
        <v>35.14</v>
      </c>
      <c r="F23">
        <v>-111.67</v>
      </c>
      <c r="G23">
        <v>2020</v>
      </c>
      <c r="H23">
        <v>0</v>
      </c>
      <c r="I23" t="s">
        <v>17</v>
      </c>
      <c r="J23">
        <v>1290.9756076604799</v>
      </c>
      <c r="K23">
        <v>11685.698634045501</v>
      </c>
      <c r="L23">
        <v>-8120.0763425899304</v>
      </c>
      <c r="M23">
        <v>425.959684188599</v>
      </c>
      <c r="N23">
        <f t="shared" si="5"/>
        <v>0.99777748426595725</v>
      </c>
    </row>
    <row r="24" spans="1:14" x14ac:dyDescent="0.3">
      <c r="A24" t="s">
        <v>13</v>
      </c>
      <c r="B24" t="s">
        <v>14</v>
      </c>
      <c r="C24" t="s">
        <v>15</v>
      </c>
      <c r="D24">
        <v>112157</v>
      </c>
      <c r="E24">
        <v>35.14</v>
      </c>
      <c r="F24">
        <v>-111.67</v>
      </c>
      <c r="G24">
        <v>2020</v>
      </c>
      <c r="H24">
        <v>20</v>
      </c>
      <c r="I24" t="s">
        <v>16</v>
      </c>
      <c r="J24">
        <v>1134.4368910943199</v>
      </c>
      <c r="K24">
        <v>11215.0445627422</v>
      </c>
      <c r="L24">
        <v>-10081.5129081751</v>
      </c>
      <c r="M24">
        <v>582.49840075475799</v>
      </c>
      <c r="N24">
        <f t="shared" ref="N24:N87" si="6">J24/J24</f>
        <v>1</v>
      </c>
    </row>
    <row r="25" spans="1:14" x14ac:dyDescent="0.3">
      <c r="A25" t="s">
        <v>13</v>
      </c>
      <c r="B25" t="s">
        <v>14</v>
      </c>
      <c r="C25" t="s">
        <v>15</v>
      </c>
      <c r="D25">
        <v>112157</v>
      </c>
      <c r="E25">
        <v>35.14</v>
      </c>
      <c r="F25">
        <v>-111.67</v>
      </c>
      <c r="G25">
        <v>2020</v>
      </c>
      <c r="H25">
        <v>20</v>
      </c>
      <c r="I25" t="s">
        <v>17</v>
      </c>
      <c r="J25">
        <v>1293.8512123374101</v>
      </c>
      <c r="K25">
        <v>11740.9916485096</v>
      </c>
      <c r="L25">
        <v>-8069.4168145815702</v>
      </c>
      <c r="M25">
        <v>423.08407951166902</v>
      </c>
      <c r="N25">
        <f t="shared" si="6"/>
        <v>1</v>
      </c>
    </row>
    <row r="26" spans="1:14" x14ac:dyDescent="0.3">
      <c r="A26" t="s">
        <v>13</v>
      </c>
      <c r="B26" t="s">
        <v>14</v>
      </c>
      <c r="C26" t="s">
        <v>15</v>
      </c>
      <c r="D26">
        <v>112157</v>
      </c>
      <c r="E26">
        <v>35.14</v>
      </c>
      <c r="F26">
        <v>-111.67</v>
      </c>
      <c r="G26">
        <v>2020</v>
      </c>
      <c r="H26">
        <v>40</v>
      </c>
      <c r="I26" t="s">
        <v>16</v>
      </c>
      <c r="J26">
        <v>1092.9863046651201</v>
      </c>
      <c r="K26">
        <v>11233.896365594601</v>
      </c>
      <c r="L26">
        <v>-10285.9268471952</v>
      </c>
      <c r="M26">
        <v>623.94898718396496</v>
      </c>
      <c r="N26">
        <f t="shared" ref="N26:N27" si="7">J26/J24</f>
        <v>0.9634615316598043</v>
      </c>
    </row>
    <row r="27" spans="1:14" x14ac:dyDescent="0.3">
      <c r="A27" t="s">
        <v>13</v>
      </c>
      <c r="B27" t="s">
        <v>14</v>
      </c>
      <c r="C27" t="s">
        <v>15</v>
      </c>
      <c r="D27">
        <v>112157</v>
      </c>
      <c r="E27">
        <v>35.14</v>
      </c>
      <c r="F27">
        <v>-111.67</v>
      </c>
      <c r="G27">
        <v>2020</v>
      </c>
      <c r="H27">
        <v>40</v>
      </c>
      <c r="I27" t="s">
        <v>17</v>
      </c>
      <c r="J27">
        <v>1236.4938800750399</v>
      </c>
      <c r="K27">
        <v>11761.8434930283</v>
      </c>
      <c r="L27">
        <v>-8662.5624885101206</v>
      </c>
      <c r="M27">
        <v>480.44141177403998</v>
      </c>
      <c r="N27">
        <f t="shared" si="7"/>
        <v>0.95566929820411795</v>
      </c>
    </row>
    <row r="28" spans="1:14" x14ac:dyDescent="0.3">
      <c r="A28" t="s">
        <v>13</v>
      </c>
      <c r="B28" t="s">
        <v>14</v>
      </c>
      <c r="C28" t="s">
        <v>15</v>
      </c>
      <c r="D28">
        <v>112157</v>
      </c>
      <c r="E28">
        <v>35.14</v>
      </c>
      <c r="F28">
        <v>-111.67</v>
      </c>
      <c r="G28">
        <v>2020</v>
      </c>
      <c r="H28">
        <v>60</v>
      </c>
      <c r="I28" t="s">
        <v>16</v>
      </c>
      <c r="J28">
        <v>1051.61265673148</v>
      </c>
      <c r="K28">
        <v>11263.2377799728</v>
      </c>
      <c r="L28">
        <v>-10726.2303814876</v>
      </c>
      <c r="M28">
        <v>665.322635117603</v>
      </c>
      <c r="N28">
        <f t="shared" ref="N28:N29" si="8">J28/J24</f>
        <v>0.9269908841884148</v>
      </c>
    </row>
    <row r="29" spans="1:14" x14ac:dyDescent="0.3">
      <c r="A29" t="s">
        <v>13</v>
      </c>
      <c r="B29" t="s">
        <v>14</v>
      </c>
      <c r="C29" t="s">
        <v>15</v>
      </c>
      <c r="D29">
        <v>112157</v>
      </c>
      <c r="E29">
        <v>35.14</v>
      </c>
      <c r="F29">
        <v>-111.67</v>
      </c>
      <c r="G29">
        <v>2020</v>
      </c>
      <c r="H29">
        <v>60</v>
      </c>
      <c r="I29" t="s">
        <v>17</v>
      </c>
      <c r="J29">
        <v>1174.2230231871999</v>
      </c>
      <c r="K29">
        <v>11795.3894700328</v>
      </c>
      <c r="L29">
        <v>-9447.11957091158</v>
      </c>
      <c r="M29">
        <v>542.71226866188204</v>
      </c>
      <c r="N29">
        <f t="shared" si="8"/>
        <v>0.90754100007056027</v>
      </c>
    </row>
    <row r="30" spans="1:14" x14ac:dyDescent="0.3">
      <c r="A30" t="s">
        <v>13</v>
      </c>
      <c r="B30" t="s">
        <v>14</v>
      </c>
      <c r="C30" t="s">
        <v>15</v>
      </c>
      <c r="D30">
        <v>112157</v>
      </c>
      <c r="E30">
        <v>35.14</v>
      </c>
      <c r="F30">
        <v>-111.67</v>
      </c>
      <c r="G30">
        <v>2020</v>
      </c>
      <c r="H30">
        <v>80</v>
      </c>
      <c r="I30" t="s">
        <v>16</v>
      </c>
      <c r="J30">
        <v>984.27077567007996</v>
      </c>
      <c r="K30">
        <v>11308.3560910667</v>
      </c>
      <c r="L30">
        <v>-11415.9898382884</v>
      </c>
      <c r="M30">
        <v>732.66451617900702</v>
      </c>
      <c r="N30">
        <f t="shared" ref="N30:N31" si="9">J30/J24</f>
        <v>0.86762937929549866</v>
      </c>
    </row>
    <row r="31" spans="1:14" x14ac:dyDescent="0.3">
      <c r="A31" t="s">
        <v>13</v>
      </c>
      <c r="B31" t="s">
        <v>14</v>
      </c>
      <c r="C31" t="s">
        <v>15</v>
      </c>
      <c r="D31">
        <v>112157</v>
      </c>
      <c r="E31">
        <v>35.14</v>
      </c>
      <c r="F31">
        <v>-111.67</v>
      </c>
      <c r="G31">
        <v>2020</v>
      </c>
      <c r="H31">
        <v>80</v>
      </c>
      <c r="I31" t="s">
        <v>17</v>
      </c>
      <c r="J31">
        <v>1080.47451842945</v>
      </c>
      <c r="K31">
        <v>11836.2948830655</v>
      </c>
      <c r="L31">
        <v>-10273.020857928799</v>
      </c>
      <c r="M31">
        <v>636.46077341963201</v>
      </c>
      <c r="N31">
        <f t="shared" si="9"/>
        <v>0.83508405613155168</v>
      </c>
    </row>
    <row r="32" spans="1:14" x14ac:dyDescent="0.3">
      <c r="A32" t="s">
        <v>13</v>
      </c>
      <c r="B32" t="s">
        <v>14</v>
      </c>
      <c r="C32" t="s">
        <v>15</v>
      </c>
      <c r="D32">
        <v>112157</v>
      </c>
      <c r="E32">
        <v>35.14</v>
      </c>
      <c r="F32">
        <v>-111.67</v>
      </c>
      <c r="G32">
        <v>2021</v>
      </c>
      <c r="H32">
        <v>0</v>
      </c>
      <c r="I32" t="s">
        <v>16</v>
      </c>
      <c r="J32">
        <v>1199.42241735634</v>
      </c>
      <c r="K32">
        <v>11159.1929181992</v>
      </c>
      <c r="L32">
        <v>-9255.3470782486693</v>
      </c>
      <c r="M32">
        <v>444.174133671015</v>
      </c>
      <c r="N32">
        <f t="shared" ref="N32:N33" si="10">J32/J34</f>
        <v>0.9939467997084005</v>
      </c>
    </row>
    <row r="33" spans="1:14" x14ac:dyDescent="0.3">
      <c r="A33" t="s">
        <v>13</v>
      </c>
      <c r="B33" t="s">
        <v>14</v>
      </c>
      <c r="C33" t="s">
        <v>15</v>
      </c>
      <c r="D33">
        <v>112157</v>
      </c>
      <c r="E33">
        <v>35.14</v>
      </c>
      <c r="F33">
        <v>-111.67</v>
      </c>
      <c r="G33">
        <v>2021</v>
      </c>
      <c r="H33">
        <v>0</v>
      </c>
      <c r="I33" t="s">
        <v>17</v>
      </c>
      <c r="J33">
        <v>1246.22686161244</v>
      </c>
      <c r="K33">
        <v>11279.7398848884</v>
      </c>
      <c r="L33">
        <v>-8816.4701394222593</v>
      </c>
      <c r="M33">
        <v>397.36968941491801</v>
      </c>
      <c r="N33">
        <f t="shared" si="10"/>
        <v>0.9954357848242068</v>
      </c>
    </row>
    <row r="34" spans="1:14" x14ac:dyDescent="0.3">
      <c r="A34" t="s">
        <v>13</v>
      </c>
      <c r="B34" t="s">
        <v>14</v>
      </c>
      <c r="C34" t="s">
        <v>15</v>
      </c>
      <c r="D34">
        <v>112157</v>
      </c>
      <c r="E34">
        <v>35.14</v>
      </c>
      <c r="F34">
        <v>-111.67</v>
      </c>
      <c r="G34">
        <v>2021</v>
      </c>
      <c r="H34">
        <v>20</v>
      </c>
      <c r="I34" t="s">
        <v>16</v>
      </c>
      <c r="J34">
        <v>1206.7269774481099</v>
      </c>
      <c r="K34">
        <v>11217.7301168023</v>
      </c>
      <c r="L34">
        <v>-9297.8828834697597</v>
      </c>
      <c r="M34">
        <v>436.86957357924098</v>
      </c>
      <c r="N34">
        <f t="shared" ref="N34:N97" si="11">J34/J34</f>
        <v>1</v>
      </c>
    </row>
    <row r="35" spans="1:14" x14ac:dyDescent="0.3">
      <c r="A35" t="s">
        <v>13</v>
      </c>
      <c r="B35" t="s">
        <v>14</v>
      </c>
      <c r="C35" t="s">
        <v>15</v>
      </c>
      <c r="D35">
        <v>112157</v>
      </c>
      <c r="E35">
        <v>35.14</v>
      </c>
      <c r="F35">
        <v>-111.67</v>
      </c>
      <c r="G35">
        <v>2021</v>
      </c>
      <c r="H35">
        <v>20</v>
      </c>
      <c r="I35" t="s">
        <v>17</v>
      </c>
      <c r="J35">
        <v>1251.9409896767199</v>
      </c>
      <c r="K35">
        <v>11339.491072798301</v>
      </c>
      <c r="L35">
        <v>-8555.4674634025196</v>
      </c>
      <c r="M35">
        <v>391.65556135063298</v>
      </c>
      <c r="N35">
        <f t="shared" si="11"/>
        <v>1</v>
      </c>
    </row>
    <row r="36" spans="1:14" x14ac:dyDescent="0.3">
      <c r="A36" t="s">
        <v>13</v>
      </c>
      <c r="B36" t="s">
        <v>14</v>
      </c>
      <c r="C36" t="s">
        <v>15</v>
      </c>
      <c r="D36">
        <v>112157</v>
      </c>
      <c r="E36">
        <v>35.14</v>
      </c>
      <c r="F36">
        <v>-111.67</v>
      </c>
      <c r="G36">
        <v>2021</v>
      </c>
      <c r="H36">
        <v>40</v>
      </c>
      <c r="I36" t="s">
        <v>16</v>
      </c>
      <c r="J36">
        <v>1139.6412246222201</v>
      </c>
      <c r="K36">
        <v>11239.5780550789</v>
      </c>
      <c r="L36">
        <v>-9869.4538808770903</v>
      </c>
      <c r="M36">
        <v>503.95532640513301</v>
      </c>
      <c r="N36">
        <f t="shared" ref="N36:N37" si="12">J36/J34</f>
        <v>0.94440685086219134</v>
      </c>
    </row>
    <row r="37" spans="1:14" x14ac:dyDescent="0.3">
      <c r="A37" t="s">
        <v>13</v>
      </c>
      <c r="B37" t="s">
        <v>14</v>
      </c>
      <c r="C37" t="s">
        <v>15</v>
      </c>
      <c r="D37">
        <v>112157</v>
      </c>
      <c r="E37">
        <v>35.14</v>
      </c>
      <c r="F37">
        <v>-111.67</v>
      </c>
      <c r="G37">
        <v>2021</v>
      </c>
      <c r="H37">
        <v>40</v>
      </c>
      <c r="I37" t="s">
        <v>17</v>
      </c>
      <c r="J37">
        <v>1205.7531082374001</v>
      </c>
      <c r="K37">
        <v>11360.228261366799</v>
      </c>
      <c r="L37">
        <v>-9385.4061895088598</v>
      </c>
      <c r="M37">
        <v>437.84344278995002</v>
      </c>
      <c r="N37">
        <f t="shared" si="12"/>
        <v>0.96310698202217448</v>
      </c>
    </row>
    <row r="38" spans="1:14" x14ac:dyDescent="0.3">
      <c r="A38" t="s">
        <v>13</v>
      </c>
      <c r="B38" t="s">
        <v>14</v>
      </c>
      <c r="C38" t="s">
        <v>15</v>
      </c>
      <c r="D38">
        <v>112157</v>
      </c>
      <c r="E38">
        <v>35.14</v>
      </c>
      <c r="F38">
        <v>-111.67</v>
      </c>
      <c r="G38">
        <v>2021</v>
      </c>
      <c r="H38">
        <v>60</v>
      </c>
      <c r="I38" t="s">
        <v>16</v>
      </c>
      <c r="J38">
        <v>1076.1872422030799</v>
      </c>
      <c r="K38">
        <v>11263.535000395101</v>
      </c>
      <c r="L38">
        <v>-10805.133609749701</v>
      </c>
      <c r="M38">
        <v>567.40930882427006</v>
      </c>
      <c r="N38">
        <f t="shared" ref="N38:N39" si="13">J38/J34</f>
        <v>0.89182330578115931</v>
      </c>
    </row>
    <row r="39" spans="1:14" x14ac:dyDescent="0.3">
      <c r="A39" t="s">
        <v>13</v>
      </c>
      <c r="B39" t="s">
        <v>14</v>
      </c>
      <c r="C39" t="s">
        <v>15</v>
      </c>
      <c r="D39">
        <v>112157</v>
      </c>
      <c r="E39">
        <v>35.14</v>
      </c>
      <c r="F39">
        <v>-111.67</v>
      </c>
      <c r="G39">
        <v>2021</v>
      </c>
      <c r="H39">
        <v>60</v>
      </c>
      <c r="I39" t="s">
        <v>17</v>
      </c>
      <c r="J39">
        <v>1119.58427216018</v>
      </c>
      <c r="K39">
        <v>11384.334334220801</v>
      </c>
      <c r="L39">
        <v>-10107.4920402881</v>
      </c>
      <c r="M39">
        <v>524.01227886717299</v>
      </c>
      <c r="N39">
        <f t="shared" si="13"/>
        <v>0.89427878901008151</v>
      </c>
    </row>
    <row r="40" spans="1:14" x14ac:dyDescent="0.3">
      <c r="A40" t="s">
        <v>13</v>
      </c>
      <c r="B40" t="s">
        <v>14</v>
      </c>
      <c r="C40" t="s">
        <v>15</v>
      </c>
      <c r="D40">
        <v>112157</v>
      </c>
      <c r="E40">
        <v>35.14</v>
      </c>
      <c r="F40">
        <v>-111.67</v>
      </c>
      <c r="G40">
        <v>2021</v>
      </c>
      <c r="H40">
        <v>80</v>
      </c>
      <c r="I40" t="s">
        <v>16</v>
      </c>
      <c r="J40">
        <v>972.58102729703296</v>
      </c>
      <c r="K40">
        <v>11311.970533595</v>
      </c>
      <c r="L40">
        <v>-11558.864567673199</v>
      </c>
      <c r="M40">
        <v>671.01552373032496</v>
      </c>
      <c r="N40">
        <f t="shared" ref="N40:N41" si="14">J40/J34</f>
        <v>0.80596609297139432</v>
      </c>
    </row>
    <row r="41" spans="1:14" x14ac:dyDescent="0.3">
      <c r="A41" t="s">
        <v>13</v>
      </c>
      <c r="B41" t="s">
        <v>14</v>
      </c>
      <c r="C41" t="s">
        <v>15</v>
      </c>
      <c r="D41">
        <v>112157</v>
      </c>
      <c r="E41">
        <v>35.14</v>
      </c>
      <c r="F41">
        <v>-111.67</v>
      </c>
      <c r="G41">
        <v>2021</v>
      </c>
      <c r="H41">
        <v>80</v>
      </c>
      <c r="I41" t="s">
        <v>17</v>
      </c>
      <c r="J41">
        <v>1034.80574333356</v>
      </c>
      <c r="K41">
        <v>11423.852287534201</v>
      </c>
      <c r="L41">
        <v>-10874.803881469999</v>
      </c>
      <c r="M41">
        <v>608.79080769379095</v>
      </c>
      <c r="N41">
        <f t="shared" si="14"/>
        <v>0.82656111739002236</v>
      </c>
    </row>
    <row r="42" spans="1:14" x14ac:dyDescent="0.3">
      <c r="A42" t="s">
        <v>13</v>
      </c>
      <c r="B42" t="s">
        <v>14</v>
      </c>
      <c r="C42" t="s">
        <v>15</v>
      </c>
      <c r="D42">
        <v>112157</v>
      </c>
      <c r="E42">
        <v>35.14</v>
      </c>
      <c r="F42">
        <v>-111.67</v>
      </c>
      <c r="G42">
        <v>2022</v>
      </c>
      <c r="H42">
        <v>0</v>
      </c>
      <c r="I42" t="s">
        <v>16</v>
      </c>
      <c r="J42">
        <v>1213.5616538398101</v>
      </c>
      <c r="K42">
        <v>11165.4870861577</v>
      </c>
      <c r="L42">
        <v>-9199.7946525210009</v>
      </c>
      <c r="M42">
        <v>433.18610497066902</v>
      </c>
      <c r="N42">
        <f t="shared" ref="N42:N43" si="15">J42/J44</f>
        <v>1.0100514017259545</v>
      </c>
    </row>
    <row r="43" spans="1:14" x14ac:dyDescent="0.3">
      <c r="A43" t="s">
        <v>13</v>
      </c>
      <c r="B43" t="s">
        <v>14</v>
      </c>
      <c r="C43" t="s">
        <v>15</v>
      </c>
      <c r="D43">
        <v>112157</v>
      </c>
      <c r="E43">
        <v>35.14</v>
      </c>
      <c r="F43">
        <v>-111.67</v>
      </c>
      <c r="G43">
        <v>2022</v>
      </c>
      <c r="H43">
        <v>0</v>
      </c>
      <c r="I43" t="s">
        <v>17</v>
      </c>
      <c r="J43">
        <v>1262.70117087874</v>
      </c>
      <c r="K43">
        <v>11253.856400954501</v>
      </c>
      <c r="L43">
        <v>-8114.3515150550102</v>
      </c>
      <c r="M43">
        <v>384.04658793174099</v>
      </c>
      <c r="N43">
        <f t="shared" si="15"/>
        <v>0.97963547887021463</v>
      </c>
    </row>
    <row r="44" spans="1:14" x14ac:dyDescent="0.3">
      <c r="A44" t="s">
        <v>13</v>
      </c>
      <c r="B44" t="s">
        <v>14</v>
      </c>
      <c r="C44" t="s">
        <v>15</v>
      </c>
      <c r="D44">
        <v>112157</v>
      </c>
      <c r="E44">
        <v>35.14</v>
      </c>
      <c r="F44">
        <v>-111.67</v>
      </c>
      <c r="G44">
        <v>2022</v>
      </c>
      <c r="H44">
        <v>20</v>
      </c>
      <c r="I44" t="s">
        <v>16</v>
      </c>
      <c r="J44">
        <v>1201.48504498494</v>
      </c>
      <c r="K44">
        <v>11217.9948246844</v>
      </c>
      <c r="L44">
        <v>-9250.0847701507391</v>
      </c>
      <c r="M44">
        <v>445.26271382553801</v>
      </c>
      <c r="N44">
        <f t="shared" ref="N44:N75" si="16">J44/J44</f>
        <v>1</v>
      </c>
    </row>
    <row r="45" spans="1:14" x14ac:dyDescent="0.3">
      <c r="A45" t="s">
        <v>13</v>
      </c>
      <c r="B45" t="s">
        <v>14</v>
      </c>
      <c r="C45" t="s">
        <v>15</v>
      </c>
      <c r="D45">
        <v>112157</v>
      </c>
      <c r="E45">
        <v>35.14</v>
      </c>
      <c r="F45">
        <v>-111.67</v>
      </c>
      <c r="G45">
        <v>2022</v>
      </c>
      <c r="H45">
        <v>20</v>
      </c>
      <c r="I45" t="s">
        <v>17</v>
      </c>
      <c r="J45">
        <v>1288.95002081282</v>
      </c>
      <c r="K45">
        <v>11294.067093977599</v>
      </c>
      <c r="L45">
        <v>-8125.7195721411499</v>
      </c>
      <c r="M45">
        <v>357.79773799765599</v>
      </c>
      <c r="N45">
        <f t="shared" si="16"/>
        <v>1</v>
      </c>
    </row>
    <row r="46" spans="1:14" x14ac:dyDescent="0.3">
      <c r="A46" t="s">
        <v>13</v>
      </c>
      <c r="B46" t="s">
        <v>14</v>
      </c>
      <c r="C46" t="s">
        <v>15</v>
      </c>
      <c r="D46">
        <v>112157</v>
      </c>
      <c r="E46">
        <v>35.14</v>
      </c>
      <c r="F46">
        <v>-111.67</v>
      </c>
      <c r="G46">
        <v>2022</v>
      </c>
      <c r="H46">
        <v>40</v>
      </c>
      <c r="I46" t="s">
        <v>16</v>
      </c>
      <c r="J46">
        <v>1144.9983461654899</v>
      </c>
      <c r="K46">
        <v>11237.9933687669</v>
      </c>
      <c r="L46">
        <v>-9925.3968608423402</v>
      </c>
      <c r="M46">
        <v>501.74941264499199</v>
      </c>
      <c r="N46">
        <f t="shared" ref="N46:N47" si="17">J46/J44</f>
        <v>0.95298593265456899</v>
      </c>
    </row>
    <row r="47" spans="1:14" x14ac:dyDescent="0.3">
      <c r="A47" t="s">
        <v>13</v>
      </c>
      <c r="B47" t="s">
        <v>14</v>
      </c>
      <c r="C47" t="s">
        <v>15</v>
      </c>
      <c r="D47">
        <v>112157</v>
      </c>
      <c r="E47">
        <v>35.14</v>
      </c>
      <c r="F47">
        <v>-111.67</v>
      </c>
      <c r="G47">
        <v>2022</v>
      </c>
      <c r="H47">
        <v>40</v>
      </c>
      <c r="I47" t="s">
        <v>17</v>
      </c>
      <c r="J47">
        <v>1238.85138326991</v>
      </c>
      <c r="K47">
        <v>11309.109487621799</v>
      </c>
      <c r="L47">
        <v>-8944.1968178060597</v>
      </c>
      <c r="M47">
        <v>407.89637554057202</v>
      </c>
      <c r="N47">
        <f t="shared" si="17"/>
        <v>0.96113221092054646</v>
      </c>
    </row>
    <row r="48" spans="1:14" x14ac:dyDescent="0.3">
      <c r="A48" t="s">
        <v>13</v>
      </c>
      <c r="B48" t="s">
        <v>14</v>
      </c>
      <c r="C48" t="s">
        <v>15</v>
      </c>
      <c r="D48">
        <v>112157</v>
      </c>
      <c r="E48">
        <v>35.14</v>
      </c>
      <c r="F48">
        <v>-111.67</v>
      </c>
      <c r="G48">
        <v>2022</v>
      </c>
      <c r="H48">
        <v>60</v>
      </c>
      <c r="I48" t="s">
        <v>16</v>
      </c>
      <c r="J48">
        <v>1068.33041474839</v>
      </c>
      <c r="K48">
        <v>11262.783390614501</v>
      </c>
      <c r="L48">
        <v>-10336.762750333801</v>
      </c>
      <c r="M48">
        <v>578.417344062089</v>
      </c>
      <c r="N48">
        <f t="shared" ref="N48:N49" si="18">J48/J44</f>
        <v>0.88917495827988513</v>
      </c>
    </row>
    <row r="49" spans="1:15" x14ac:dyDescent="0.3">
      <c r="A49" t="s">
        <v>13</v>
      </c>
      <c r="B49" t="s">
        <v>14</v>
      </c>
      <c r="C49" t="s">
        <v>15</v>
      </c>
      <c r="D49">
        <v>112157</v>
      </c>
      <c r="E49">
        <v>35.14</v>
      </c>
      <c r="F49">
        <v>-111.67</v>
      </c>
      <c r="G49">
        <v>2022</v>
      </c>
      <c r="H49">
        <v>60</v>
      </c>
      <c r="I49" t="s">
        <v>17</v>
      </c>
      <c r="J49">
        <v>1097.36179849308</v>
      </c>
      <c r="K49">
        <v>11339.9796503488</v>
      </c>
      <c r="L49">
        <v>-9954.4595947537</v>
      </c>
      <c r="M49">
        <v>549.38596031740201</v>
      </c>
      <c r="N49">
        <f t="shared" si="18"/>
        <v>0.8513610153798491</v>
      </c>
    </row>
    <row r="50" spans="1:15" x14ac:dyDescent="0.3">
      <c r="A50" t="s">
        <v>13</v>
      </c>
      <c r="B50" t="s">
        <v>14</v>
      </c>
      <c r="C50" t="s">
        <v>15</v>
      </c>
      <c r="D50">
        <v>112157</v>
      </c>
      <c r="E50">
        <v>35.14</v>
      </c>
      <c r="F50">
        <v>-111.67</v>
      </c>
      <c r="G50">
        <v>2022</v>
      </c>
      <c r="H50">
        <v>80</v>
      </c>
      <c r="I50" t="s">
        <v>16</v>
      </c>
      <c r="J50">
        <v>999.17560803541699</v>
      </c>
      <c r="K50">
        <v>11308.473267765499</v>
      </c>
      <c r="L50">
        <v>-11215.1853302821</v>
      </c>
      <c r="M50">
        <v>647.57215077506601</v>
      </c>
      <c r="N50">
        <f t="shared" ref="N50:N51" si="19">J50/J44</f>
        <v>0.83161718259085038</v>
      </c>
    </row>
    <row r="51" spans="1:15" x14ac:dyDescent="0.3">
      <c r="A51" t="s">
        <v>13</v>
      </c>
      <c r="B51" t="s">
        <v>14</v>
      </c>
      <c r="C51" t="s">
        <v>15</v>
      </c>
      <c r="D51">
        <v>112157</v>
      </c>
      <c r="E51">
        <v>35.14</v>
      </c>
      <c r="F51">
        <v>-111.67</v>
      </c>
      <c r="G51">
        <v>2022</v>
      </c>
      <c r="H51">
        <v>80</v>
      </c>
      <c r="I51" t="s">
        <v>17</v>
      </c>
      <c r="J51">
        <v>1033.5193681851099</v>
      </c>
      <c r="K51">
        <v>11375.443857612499</v>
      </c>
      <c r="L51">
        <v>-10827.8598293286</v>
      </c>
      <c r="M51">
        <v>613.22839062537298</v>
      </c>
      <c r="N51">
        <f t="shared" si="19"/>
        <v>0.801830444545372</v>
      </c>
    </row>
    <row r="52" spans="1:15" x14ac:dyDescent="0.3">
      <c r="A52" t="s">
        <v>13</v>
      </c>
      <c r="B52" t="s">
        <v>14</v>
      </c>
      <c r="C52" t="s">
        <v>15</v>
      </c>
      <c r="D52">
        <v>112157</v>
      </c>
      <c r="E52">
        <v>35.14</v>
      </c>
      <c r="F52">
        <v>-111.67</v>
      </c>
      <c r="G52">
        <v>2023</v>
      </c>
      <c r="H52">
        <v>0</v>
      </c>
      <c r="I52" t="s">
        <v>16</v>
      </c>
      <c r="J52">
        <v>1241.25090022318</v>
      </c>
      <c r="K52">
        <v>11170.8467636691</v>
      </c>
      <c r="L52">
        <v>-9251.2224604455405</v>
      </c>
      <c r="M52">
        <v>382.87722935579097</v>
      </c>
      <c r="N52">
        <f t="shared" ref="N52:N53" si="20">J52/J54</f>
        <v>1.065276813922055</v>
      </c>
    </row>
    <row r="53" spans="1:15" x14ac:dyDescent="0.3">
      <c r="A53" t="s">
        <v>13</v>
      </c>
      <c r="B53" t="s">
        <v>14</v>
      </c>
      <c r="C53" t="s">
        <v>15</v>
      </c>
      <c r="D53">
        <v>112157</v>
      </c>
      <c r="E53">
        <v>35.14</v>
      </c>
      <c r="F53">
        <v>-111.67</v>
      </c>
      <c r="G53">
        <v>2023</v>
      </c>
      <c r="H53">
        <v>0</v>
      </c>
      <c r="I53" t="s">
        <v>17</v>
      </c>
      <c r="J53">
        <v>1292.06883228373</v>
      </c>
      <c r="K53">
        <v>11398.6452526675</v>
      </c>
      <c r="L53">
        <v>-8057.4575014635302</v>
      </c>
      <c r="M53">
        <v>332.059297295249</v>
      </c>
      <c r="N53">
        <f t="shared" si="20"/>
        <v>1.0156521850705351</v>
      </c>
    </row>
    <row r="54" spans="1:15" x14ac:dyDescent="0.3">
      <c r="A54" t="s">
        <v>13</v>
      </c>
      <c r="B54" t="s">
        <v>14</v>
      </c>
      <c r="C54" t="s">
        <v>15</v>
      </c>
      <c r="D54">
        <v>112157</v>
      </c>
      <c r="E54">
        <v>35.14</v>
      </c>
      <c r="F54">
        <v>-111.67</v>
      </c>
      <c r="G54">
        <v>2023</v>
      </c>
      <c r="H54">
        <v>20</v>
      </c>
      <c r="I54" t="s">
        <v>16</v>
      </c>
      <c r="J54">
        <v>1165.19094755591</v>
      </c>
      <c r="K54">
        <v>11226.9164582829</v>
      </c>
      <c r="L54">
        <v>-9450.5498185635606</v>
      </c>
      <c r="M54">
        <v>458.93718202306701</v>
      </c>
      <c r="N54">
        <f t="shared" ref="N54:N85" si="21">J54/J54</f>
        <v>1</v>
      </c>
    </row>
    <row r="55" spans="1:15" x14ac:dyDescent="0.3">
      <c r="A55" t="s">
        <v>13</v>
      </c>
      <c r="B55" t="s">
        <v>14</v>
      </c>
      <c r="C55" t="s">
        <v>15</v>
      </c>
      <c r="D55">
        <v>112157</v>
      </c>
      <c r="E55">
        <v>35.14</v>
      </c>
      <c r="F55">
        <v>-111.67</v>
      </c>
      <c r="G55">
        <v>2023</v>
      </c>
      <c r="H55">
        <v>20</v>
      </c>
      <c r="I55" t="s">
        <v>17</v>
      </c>
      <c r="J55">
        <v>1272.15679863279</v>
      </c>
      <c r="K55">
        <v>11455.897160288399</v>
      </c>
      <c r="L55">
        <v>-8076.16023743189</v>
      </c>
      <c r="M55">
        <v>351.97133094617902</v>
      </c>
      <c r="N55">
        <f t="shared" si="21"/>
        <v>1</v>
      </c>
    </row>
    <row r="56" spans="1:15" x14ac:dyDescent="0.3">
      <c r="A56" t="s">
        <v>13</v>
      </c>
      <c r="B56" t="s">
        <v>14</v>
      </c>
      <c r="C56" t="s">
        <v>15</v>
      </c>
      <c r="D56">
        <v>112157</v>
      </c>
      <c r="E56">
        <v>35.14</v>
      </c>
      <c r="F56">
        <v>-111.67</v>
      </c>
      <c r="G56">
        <v>2023</v>
      </c>
      <c r="H56">
        <v>40</v>
      </c>
      <c r="I56" t="s">
        <v>16</v>
      </c>
      <c r="J56">
        <v>1146.00163879771</v>
      </c>
      <c r="K56">
        <v>11245.9648292856</v>
      </c>
      <c r="L56">
        <v>-9999.6732517629007</v>
      </c>
      <c r="M56">
        <v>478.12649078126901</v>
      </c>
      <c r="N56">
        <f t="shared" ref="N56:N57" si="22">J56/J54</f>
        <v>0.98353118963166397</v>
      </c>
    </row>
    <row r="57" spans="1:15" x14ac:dyDescent="0.3">
      <c r="A57" t="s">
        <v>13</v>
      </c>
      <c r="B57" t="s">
        <v>14</v>
      </c>
      <c r="C57" t="s">
        <v>15</v>
      </c>
      <c r="D57">
        <v>112157</v>
      </c>
      <c r="E57">
        <v>35.14</v>
      </c>
      <c r="F57">
        <v>-111.67</v>
      </c>
      <c r="G57">
        <v>2023</v>
      </c>
      <c r="H57">
        <v>40</v>
      </c>
      <c r="I57" t="s">
        <v>17</v>
      </c>
      <c r="J57">
        <v>1254.5158636170499</v>
      </c>
      <c r="K57">
        <v>11472.9395341278</v>
      </c>
      <c r="L57">
        <v>-8874.7508929202795</v>
      </c>
      <c r="M57">
        <v>369.61226596192603</v>
      </c>
      <c r="N57">
        <f t="shared" si="22"/>
        <v>0.98613304976658611</v>
      </c>
    </row>
    <row r="58" spans="1:15" x14ac:dyDescent="0.3">
      <c r="A58" t="s">
        <v>13</v>
      </c>
      <c r="B58" t="s">
        <v>14</v>
      </c>
      <c r="C58" t="s">
        <v>15</v>
      </c>
      <c r="D58">
        <v>112157</v>
      </c>
      <c r="E58">
        <v>35.14</v>
      </c>
      <c r="F58">
        <v>-111.67</v>
      </c>
      <c r="G58">
        <v>2023</v>
      </c>
      <c r="H58">
        <v>60</v>
      </c>
      <c r="I58" t="s">
        <v>16</v>
      </c>
      <c r="J58">
        <v>1082.73522401946</v>
      </c>
      <c r="K58">
        <v>11265.0120274524</v>
      </c>
      <c r="L58">
        <v>-10488.8446484673</v>
      </c>
      <c r="M58">
        <v>541.39290555951197</v>
      </c>
      <c r="N58">
        <f t="shared" ref="N58:N59" si="23">J58/J54</f>
        <v>0.92923415367291673</v>
      </c>
    </row>
    <row r="59" spans="1:15" x14ac:dyDescent="0.3">
      <c r="A59" t="s">
        <v>13</v>
      </c>
      <c r="B59" t="s">
        <v>14</v>
      </c>
      <c r="C59" t="s">
        <v>15</v>
      </c>
      <c r="D59">
        <v>112157</v>
      </c>
      <c r="E59">
        <v>35.14</v>
      </c>
      <c r="F59">
        <v>-111.67</v>
      </c>
      <c r="G59">
        <v>2023</v>
      </c>
      <c r="H59">
        <v>60</v>
      </c>
      <c r="I59" t="s">
        <v>17</v>
      </c>
      <c r="J59">
        <v>1179.3047415507399</v>
      </c>
      <c r="K59">
        <v>11495.044705234901</v>
      </c>
      <c r="L59">
        <v>-9576.2878112717808</v>
      </c>
      <c r="M59">
        <v>444.82338802823699</v>
      </c>
      <c r="N59">
        <f t="shared" si="23"/>
        <v>0.92701209695075326</v>
      </c>
    </row>
    <row r="60" spans="1:15" x14ac:dyDescent="0.3">
      <c r="A60" t="s">
        <v>13</v>
      </c>
      <c r="B60" t="s">
        <v>14</v>
      </c>
      <c r="C60" t="s">
        <v>15</v>
      </c>
      <c r="D60">
        <v>112157</v>
      </c>
      <c r="E60">
        <v>35.14</v>
      </c>
      <c r="F60">
        <v>-111.67</v>
      </c>
      <c r="G60">
        <v>2023</v>
      </c>
      <c r="H60">
        <v>80</v>
      </c>
      <c r="I60" t="s">
        <v>16</v>
      </c>
      <c r="J60">
        <v>1006.53110908087</v>
      </c>
      <c r="K60">
        <v>11309.2596326202</v>
      </c>
      <c r="L60">
        <v>-11172.2287380692</v>
      </c>
      <c r="M60">
        <v>617.59702049810699</v>
      </c>
      <c r="N60">
        <f t="shared" ref="N60:N61" si="24">J60/J54</f>
        <v>0.86383361559078109</v>
      </c>
    </row>
    <row r="61" spans="1:15" x14ac:dyDescent="0.3">
      <c r="A61" t="s">
        <v>13</v>
      </c>
      <c r="B61" t="s">
        <v>14</v>
      </c>
      <c r="C61" t="s">
        <v>15</v>
      </c>
      <c r="D61">
        <v>112157</v>
      </c>
      <c r="E61">
        <v>35.14</v>
      </c>
      <c r="F61">
        <v>-111.67</v>
      </c>
      <c r="G61">
        <v>2023</v>
      </c>
      <c r="H61">
        <v>80</v>
      </c>
      <c r="I61" t="s">
        <v>17</v>
      </c>
      <c r="J61">
        <v>1052.71269245338</v>
      </c>
      <c r="K61">
        <v>11541.400755557401</v>
      </c>
      <c r="L61">
        <v>-10549.2382296131</v>
      </c>
      <c r="M61">
        <v>571.41543712558996</v>
      </c>
      <c r="N61">
        <f t="shared" si="24"/>
        <v>0.82750231228159088</v>
      </c>
    </row>
    <row r="62" spans="1:15" x14ac:dyDescent="0.3">
      <c r="A62" t="s">
        <v>18</v>
      </c>
      <c r="B62" t="s">
        <v>19</v>
      </c>
      <c r="C62" t="s">
        <v>20</v>
      </c>
      <c r="D62">
        <v>111549</v>
      </c>
      <c r="E62">
        <v>32.869999999999997</v>
      </c>
      <c r="F62">
        <v>-117.15</v>
      </c>
      <c r="G62">
        <v>2018</v>
      </c>
      <c r="H62">
        <v>0</v>
      </c>
      <c r="I62" t="s">
        <v>16</v>
      </c>
      <c r="J62">
        <v>3825.6335084349898</v>
      </c>
      <c r="K62">
        <v>10963.0450755945</v>
      </c>
      <c r="L62">
        <v>21547.453509629901</v>
      </c>
      <c r="M62">
        <v>993.60485782509602</v>
      </c>
      <c r="N62">
        <f t="shared" ref="N62:N63" si="25">J62/J64</f>
        <v>0.99888180121248404</v>
      </c>
    </row>
    <row r="63" spans="1:15" x14ac:dyDescent="0.3">
      <c r="A63" t="s">
        <v>18</v>
      </c>
      <c r="B63" t="s">
        <v>19</v>
      </c>
      <c r="C63" t="s">
        <v>20</v>
      </c>
      <c r="D63">
        <v>111549</v>
      </c>
      <c r="E63">
        <v>32.869999999999997</v>
      </c>
      <c r="F63">
        <v>-117.15</v>
      </c>
      <c r="G63">
        <v>2018</v>
      </c>
      <c r="H63">
        <v>0</v>
      </c>
      <c r="I63" t="s">
        <v>17</v>
      </c>
      <c r="J63">
        <v>3892.1775816601998</v>
      </c>
      <c r="K63">
        <v>11006.696991016201</v>
      </c>
      <c r="L63">
        <v>22297.029727618999</v>
      </c>
      <c r="M63">
        <v>927.06078459988305</v>
      </c>
      <c r="N63">
        <f t="shared" si="25"/>
        <v>0.9984541590750472</v>
      </c>
      <c r="O63">
        <f>AVERAGE(N63,N73,N83,N93,N103,N113)</f>
        <v>0.99646436164428265</v>
      </c>
    </row>
    <row r="64" spans="1:15" x14ac:dyDescent="0.3">
      <c r="A64" t="s">
        <v>18</v>
      </c>
      <c r="B64" t="s">
        <v>19</v>
      </c>
      <c r="C64" t="s">
        <v>20</v>
      </c>
      <c r="D64">
        <v>111549</v>
      </c>
      <c r="E64">
        <v>32.869999999999997</v>
      </c>
      <c r="F64">
        <v>-117.15</v>
      </c>
      <c r="G64">
        <v>2018</v>
      </c>
      <c r="H64">
        <v>20</v>
      </c>
      <c r="I64" t="s">
        <v>16</v>
      </c>
      <c r="J64">
        <v>3829.91611599218</v>
      </c>
      <c r="K64">
        <v>11039.45026926</v>
      </c>
      <c r="L64">
        <v>21483.6019909475</v>
      </c>
      <c r="M64">
        <v>989.32225026790695</v>
      </c>
      <c r="N64">
        <f t="shared" ref="N64:N95" si="26">J64/J64</f>
        <v>1</v>
      </c>
    </row>
    <row r="65" spans="1:15" x14ac:dyDescent="0.3">
      <c r="A65" t="s">
        <v>18</v>
      </c>
      <c r="B65" t="s">
        <v>19</v>
      </c>
      <c r="C65" t="s">
        <v>20</v>
      </c>
      <c r="D65">
        <v>111549</v>
      </c>
      <c r="E65">
        <v>32.869999999999997</v>
      </c>
      <c r="F65">
        <v>-117.15</v>
      </c>
      <c r="G65">
        <v>2018</v>
      </c>
      <c r="H65">
        <v>20</v>
      </c>
      <c r="I65" t="s">
        <v>17</v>
      </c>
      <c r="J65">
        <v>3898.2035842946002</v>
      </c>
      <c r="K65">
        <v>11082.512108299699</v>
      </c>
      <c r="L65">
        <v>22316.582697265399</v>
      </c>
      <c r="M65">
        <v>921.03478196547997</v>
      </c>
      <c r="N65">
        <f t="shared" si="26"/>
        <v>1</v>
      </c>
      <c r="O65">
        <f>AVERAGE(N65,N75,N85,N95,N105,N115)</f>
        <v>1</v>
      </c>
    </row>
    <row r="66" spans="1:15" x14ac:dyDescent="0.3">
      <c r="A66" t="s">
        <v>18</v>
      </c>
      <c r="B66" t="s">
        <v>19</v>
      </c>
      <c r="C66" t="s">
        <v>20</v>
      </c>
      <c r="D66">
        <v>111549</v>
      </c>
      <c r="E66">
        <v>32.869999999999997</v>
      </c>
      <c r="F66">
        <v>-117.15</v>
      </c>
      <c r="G66">
        <v>2018</v>
      </c>
      <c r="H66">
        <v>40</v>
      </c>
      <c r="I66" t="s">
        <v>16</v>
      </c>
      <c r="J66">
        <v>3673.2433849726699</v>
      </c>
      <c r="K66">
        <v>11075.4884829399</v>
      </c>
      <c r="L66">
        <v>19435.94573644</v>
      </c>
      <c r="M66">
        <v>1145.9949812874099</v>
      </c>
      <c r="N66">
        <f t="shared" ref="N66:N67" si="27">J66/J64</f>
        <v>0.95909238576654243</v>
      </c>
    </row>
    <row r="67" spans="1:15" x14ac:dyDescent="0.3">
      <c r="A67" t="s">
        <v>18</v>
      </c>
      <c r="B67" t="s">
        <v>19</v>
      </c>
      <c r="C67" t="s">
        <v>20</v>
      </c>
      <c r="D67">
        <v>111549</v>
      </c>
      <c r="E67">
        <v>32.869999999999997</v>
      </c>
      <c r="F67">
        <v>-117.15</v>
      </c>
      <c r="G67">
        <v>2018</v>
      </c>
      <c r="H67">
        <v>40</v>
      </c>
      <c r="I67" t="s">
        <v>17</v>
      </c>
      <c r="J67">
        <v>3746.4508252820401</v>
      </c>
      <c r="K67">
        <v>11118.331910455599</v>
      </c>
      <c r="L67">
        <v>20285.797351045101</v>
      </c>
      <c r="M67">
        <v>1072.7875409780299</v>
      </c>
      <c r="N67">
        <f t="shared" si="27"/>
        <v>0.96107110474579782</v>
      </c>
      <c r="O67">
        <f>AVERAGE(N67,N77,N87,N97,N107,N117)</f>
        <v>0.96194040301877948</v>
      </c>
    </row>
    <row r="68" spans="1:15" x14ac:dyDescent="0.3">
      <c r="A68" t="s">
        <v>18</v>
      </c>
      <c r="B68" t="s">
        <v>19</v>
      </c>
      <c r="C68" t="s">
        <v>20</v>
      </c>
      <c r="D68">
        <v>111549</v>
      </c>
      <c r="E68">
        <v>32.869999999999997</v>
      </c>
      <c r="F68">
        <v>-117.15</v>
      </c>
      <c r="G68">
        <v>2018</v>
      </c>
      <c r="H68">
        <v>60</v>
      </c>
      <c r="I68" t="s">
        <v>16</v>
      </c>
      <c r="J68">
        <v>3407.0246165564699</v>
      </c>
      <c r="K68">
        <v>11125.5819745142</v>
      </c>
      <c r="L68">
        <v>15283.3126249539</v>
      </c>
      <c r="M68">
        <v>1412.2137497036099</v>
      </c>
      <c r="N68">
        <f t="shared" ref="N68:N69" si="28">J68/J64</f>
        <v>0.88958204654407802</v>
      </c>
    </row>
    <row r="69" spans="1:15" x14ac:dyDescent="0.3">
      <c r="A69" t="s">
        <v>18</v>
      </c>
      <c r="B69" t="s">
        <v>19</v>
      </c>
      <c r="C69" t="s">
        <v>20</v>
      </c>
      <c r="D69">
        <v>111549</v>
      </c>
      <c r="E69">
        <v>32.869999999999997</v>
      </c>
      <c r="F69">
        <v>-117.15</v>
      </c>
      <c r="G69">
        <v>2018</v>
      </c>
      <c r="H69">
        <v>60</v>
      </c>
      <c r="I69" t="s">
        <v>17</v>
      </c>
      <c r="J69">
        <v>3470.7624430124702</v>
      </c>
      <c r="K69">
        <v>11170.202517051401</v>
      </c>
      <c r="L69">
        <v>16019.481129006601</v>
      </c>
      <c r="M69">
        <v>1348.4759232475999</v>
      </c>
      <c r="N69">
        <f t="shared" si="28"/>
        <v>0.89034920007660967</v>
      </c>
      <c r="O69">
        <f>AVERAGE(N69,N79,N89,N99,N109,N119)</f>
        <v>0.89445733276049089</v>
      </c>
    </row>
    <row r="70" spans="1:15" x14ac:dyDescent="0.3">
      <c r="A70" t="s">
        <v>18</v>
      </c>
      <c r="B70" t="s">
        <v>19</v>
      </c>
      <c r="C70" t="s">
        <v>20</v>
      </c>
      <c r="D70">
        <v>111549</v>
      </c>
      <c r="E70">
        <v>32.869999999999997</v>
      </c>
      <c r="F70">
        <v>-117.15</v>
      </c>
      <c r="G70">
        <v>2018</v>
      </c>
      <c r="H70">
        <v>80</v>
      </c>
      <c r="I70" t="s">
        <v>16</v>
      </c>
      <c r="J70">
        <v>3055.13915818245</v>
      </c>
      <c r="K70">
        <v>11188.5013369631</v>
      </c>
      <c r="L70">
        <v>11558.0331091231</v>
      </c>
      <c r="M70">
        <v>1764.09920807762</v>
      </c>
      <c r="N70">
        <f t="shared" ref="N70:N71" si="29">J70/J64</f>
        <v>0.79770393545316176</v>
      </c>
    </row>
    <row r="71" spans="1:15" x14ac:dyDescent="0.3">
      <c r="A71" t="s">
        <v>18</v>
      </c>
      <c r="B71" t="s">
        <v>19</v>
      </c>
      <c r="C71" t="s">
        <v>20</v>
      </c>
      <c r="D71">
        <v>111549</v>
      </c>
      <c r="E71">
        <v>32.869999999999997</v>
      </c>
      <c r="F71">
        <v>-117.15</v>
      </c>
      <c r="G71">
        <v>2018</v>
      </c>
      <c r="H71">
        <v>80</v>
      </c>
      <c r="I71" t="s">
        <v>17</v>
      </c>
      <c r="J71">
        <v>3106.5738022625601</v>
      </c>
      <c r="K71">
        <v>11235.0883088719</v>
      </c>
      <c r="L71">
        <v>12272.070061398201</v>
      </c>
      <c r="M71">
        <v>1712.66456399752</v>
      </c>
      <c r="N71">
        <f t="shared" si="29"/>
        <v>0.79692446407329198</v>
      </c>
      <c r="O71">
        <f>AVERAGE(N71,N81,N91,N101,N111,N121)</f>
        <v>0.80088613446417567</v>
      </c>
    </row>
    <row r="72" spans="1:15" x14ac:dyDescent="0.3">
      <c r="A72" t="s">
        <v>18</v>
      </c>
      <c r="B72" t="s">
        <v>19</v>
      </c>
      <c r="C72" t="s">
        <v>20</v>
      </c>
      <c r="D72">
        <v>111549</v>
      </c>
      <c r="E72">
        <v>32.869999999999997</v>
      </c>
      <c r="F72">
        <v>-117.15</v>
      </c>
      <c r="G72">
        <v>2019</v>
      </c>
      <c r="H72">
        <v>0</v>
      </c>
      <c r="I72" t="s">
        <v>16</v>
      </c>
      <c r="J72">
        <v>3685.8064593153399</v>
      </c>
      <c r="K72">
        <v>10976.435256349399</v>
      </c>
      <c r="L72">
        <v>20024.188220605502</v>
      </c>
      <c r="M72">
        <v>874.70698621977601</v>
      </c>
      <c r="N72">
        <f t="shared" ref="N72:N73" si="30">J72/J74</f>
        <v>0.99733146619497393</v>
      </c>
    </row>
    <row r="73" spans="1:15" x14ac:dyDescent="0.3">
      <c r="A73" t="s">
        <v>18</v>
      </c>
      <c r="B73" t="s">
        <v>19</v>
      </c>
      <c r="C73" t="s">
        <v>20</v>
      </c>
      <c r="D73">
        <v>111549</v>
      </c>
      <c r="E73">
        <v>32.869999999999997</v>
      </c>
      <c r="F73">
        <v>-117.15</v>
      </c>
      <c r="G73">
        <v>2019</v>
      </c>
      <c r="H73">
        <v>0</v>
      </c>
      <c r="I73" t="s">
        <v>17</v>
      </c>
      <c r="J73">
        <v>3796.2049874070299</v>
      </c>
      <c r="K73">
        <v>10891.999723316099</v>
      </c>
      <c r="L73">
        <v>21293.478686476701</v>
      </c>
      <c r="M73">
        <v>764.30845812808604</v>
      </c>
      <c r="N73">
        <f t="shared" si="30"/>
        <v>0.99633390434561553</v>
      </c>
    </row>
    <row r="74" spans="1:15" x14ac:dyDescent="0.3">
      <c r="A74" t="s">
        <v>18</v>
      </c>
      <c r="B74" t="s">
        <v>19</v>
      </c>
      <c r="C74" t="s">
        <v>20</v>
      </c>
      <c r="D74">
        <v>111549</v>
      </c>
      <c r="E74">
        <v>32.869999999999997</v>
      </c>
      <c r="F74">
        <v>-117.15</v>
      </c>
      <c r="G74">
        <v>2019</v>
      </c>
      <c r="H74">
        <v>20</v>
      </c>
      <c r="I74" t="s">
        <v>16</v>
      </c>
      <c r="J74">
        <v>3695.66847557458</v>
      </c>
      <c r="K74">
        <v>11044.194124866101</v>
      </c>
      <c r="L74">
        <v>20043.801458709899</v>
      </c>
      <c r="M74">
        <v>864.84496996054099</v>
      </c>
      <c r="N74">
        <f t="shared" ref="N74:N105" si="31">J74/J74</f>
        <v>1</v>
      </c>
    </row>
    <row r="75" spans="1:15" x14ac:dyDescent="0.3">
      <c r="A75" t="s">
        <v>18</v>
      </c>
      <c r="B75" t="s">
        <v>19</v>
      </c>
      <c r="C75" t="s">
        <v>20</v>
      </c>
      <c r="D75">
        <v>111549</v>
      </c>
      <c r="E75">
        <v>32.869999999999997</v>
      </c>
      <c r="F75">
        <v>-117.15</v>
      </c>
      <c r="G75">
        <v>2019</v>
      </c>
      <c r="H75">
        <v>20</v>
      </c>
      <c r="I75" t="s">
        <v>17</v>
      </c>
      <c r="J75">
        <v>3810.1734477261898</v>
      </c>
      <c r="K75">
        <v>10967.0417552746</v>
      </c>
      <c r="L75">
        <v>21337.916291991201</v>
      </c>
      <c r="M75">
        <v>750.33999780893396</v>
      </c>
      <c r="N75">
        <f t="shared" si="31"/>
        <v>1</v>
      </c>
    </row>
    <row r="76" spans="1:15" x14ac:dyDescent="0.3">
      <c r="A76" t="s">
        <v>18</v>
      </c>
      <c r="B76" t="s">
        <v>19</v>
      </c>
      <c r="C76" t="s">
        <v>20</v>
      </c>
      <c r="D76">
        <v>111549</v>
      </c>
      <c r="E76">
        <v>32.869999999999997</v>
      </c>
      <c r="F76">
        <v>-117.15</v>
      </c>
      <c r="G76">
        <v>2019</v>
      </c>
      <c r="H76">
        <v>40</v>
      </c>
      <c r="I76" t="s">
        <v>16</v>
      </c>
      <c r="J76">
        <v>3554.3408026981501</v>
      </c>
      <c r="K76">
        <v>11077.516029770901</v>
      </c>
      <c r="L76">
        <v>18097.219536850302</v>
      </c>
      <c r="M76">
        <v>1006.17264283697</v>
      </c>
      <c r="N76">
        <f t="shared" ref="N76:N77" si="32">J76/J74</f>
        <v>0.96175856308256735</v>
      </c>
    </row>
    <row r="77" spans="1:15" x14ac:dyDescent="0.3">
      <c r="A77" t="s">
        <v>18</v>
      </c>
      <c r="B77" t="s">
        <v>19</v>
      </c>
      <c r="C77" t="s">
        <v>20</v>
      </c>
      <c r="D77">
        <v>111549</v>
      </c>
      <c r="E77">
        <v>32.869999999999997</v>
      </c>
      <c r="F77">
        <v>-117.15</v>
      </c>
      <c r="G77">
        <v>2019</v>
      </c>
      <c r="H77">
        <v>40</v>
      </c>
      <c r="I77" t="s">
        <v>17</v>
      </c>
      <c r="J77">
        <v>3636.3980169272099</v>
      </c>
      <c r="K77">
        <v>11006.242173701001</v>
      </c>
      <c r="L77">
        <v>19119.749873481302</v>
      </c>
      <c r="M77">
        <v>924.11542860790496</v>
      </c>
      <c r="N77">
        <f t="shared" si="32"/>
        <v>0.95439172699534602</v>
      </c>
    </row>
    <row r="78" spans="1:15" x14ac:dyDescent="0.3">
      <c r="A78" t="s">
        <v>18</v>
      </c>
      <c r="B78" t="s">
        <v>19</v>
      </c>
      <c r="C78" t="s">
        <v>20</v>
      </c>
      <c r="D78">
        <v>111549</v>
      </c>
      <c r="E78">
        <v>32.869999999999997</v>
      </c>
      <c r="F78">
        <v>-117.15</v>
      </c>
      <c r="G78">
        <v>2019</v>
      </c>
      <c r="H78">
        <v>60</v>
      </c>
      <c r="I78" t="s">
        <v>16</v>
      </c>
      <c r="J78">
        <v>3297.4520586225799</v>
      </c>
      <c r="K78">
        <v>11126.664057395201</v>
      </c>
      <c r="L78">
        <v>14111.920994476999</v>
      </c>
      <c r="M78">
        <v>1263.06138691253</v>
      </c>
      <c r="N78">
        <f t="shared" ref="N78:N79" si="33">J78/J74</f>
        <v>0.89224779777085172</v>
      </c>
    </row>
    <row r="79" spans="1:15" x14ac:dyDescent="0.3">
      <c r="A79" t="s">
        <v>18</v>
      </c>
      <c r="B79" t="s">
        <v>19</v>
      </c>
      <c r="C79" t="s">
        <v>20</v>
      </c>
      <c r="D79">
        <v>111549</v>
      </c>
      <c r="E79">
        <v>32.869999999999997</v>
      </c>
      <c r="F79">
        <v>-117.15</v>
      </c>
      <c r="G79">
        <v>2019</v>
      </c>
      <c r="H79">
        <v>60</v>
      </c>
      <c r="I79" t="s">
        <v>17</v>
      </c>
      <c r="J79">
        <v>3371.3191162140902</v>
      </c>
      <c r="K79">
        <v>11057.8506202588</v>
      </c>
      <c r="L79">
        <v>14897.090532321299</v>
      </c>
      <c r="M79">
        <v>1189.19432932103</v>
      </c>
      <c r="N79">
        <f t="shared" si="33"/>
        <v>0.88482037956198656</v>
      </c>
    </row>
    <row r="80" spans="1:15" x14ac:dyDescent="0.3">
      <c r="A80" t="s">
        <v>18</v>
      </c>
      <c r="B80" t="s">
        <v>19</v>
      </c>
      <c r="C80" t="s">
        <v>20</v>
      </c>
      <c r="D80">
        <v>111549</v>
      </c>
      <c r="E80">
        <v>32.869999999999997</v>
      </c>
      <c r="F80">
        <v>-117.15</v>
      </c>
      <c r="G80">
        <v>2019</v>
      </c>
      <c r="H80">
        <v>80</v>
      </c>
      <c r="I80" t="s">
        <v>16</v>
      </c>
      <c r="J80">
        <v>2956.06483177877</v>
      </c>
      <c r="K80">
        <v>11188.6973724299</v>
      </c>
      <c r="L80">
        <v>10498.540278210699</v>
      </c>
      <c r="M80">
        <v>1604.4486137563399</v>
      </c>
      <c r="N80">
        <f t="shared" ref="N80:N81" si="34">J80/J74</f>
        <v>0.79987283797667452</v>
      </c>
    </row>
    <row r="81" spans="1:14" x14ac:dyDescent="0.3">
      <c r="A81" t="s">
        <v>18</v>
      </c>
      <c r="B81" t="s">
        <v>19</v>
      </c>
      <c r="C81" t="s">
        <v>20</v>
      </c>
      <c r="D81">
        <v>111549</v>
      </c>
      <c r="E81">
        <v>32.869999999999997</v>
      </c>
      <c r="F81">
        <v>-117.15</v>
      </c>
      <c r="G81">
        <v>2019</v>
      </c>
      <c r="H81">
        <v>80</v>
      </c>
      <c r="I81" t="s">
        <v>17</v>
      </c>
      <c r="J81">
        <v>3016.7598027229901</v>
      </c>
      <c r="K81">
        <v>11121.4005258015</v>
      </c>
      <c r="L81">
        <v>11161.301661510201</v>
      </c>
      <c r="M81">
        <v>1543.75364281212</v>
      </c>
      <c r="N81">
        <f t="shared" si="34"/>
        <v>0.7917644286045068</v>
      </c>
    </row>
    <row r="82" spans="1:14" x14ac:dyDescent="0.3">
      <c r="A82" t="s">
        <v>18</v>
      </c>
      <c r="B82" t="s">
        <v>19</v>
      </c>
      <c r="C82" t="s">
        <v>20</v>
      </c>
      <c r="D82">
        <v>111549</v>
      </c>
      <c r="E82">
        <v>32.869999999999997</v>
      </c>
      <c r="F82">
        <v>-117.15</v>
      </c>
      <c r="G82">
        <v>2020</v>
      </c>
      <c r="H82">
        <v>0</v>
      </c>
      <c r="I82" t="s">
        <v>16</v>
      </c>
      <c r="J82">
        <v>3854.2504043604499</v>
      </c>
      <c r="K82">
        <v>10961.1361355462</v>
      </c>
      <c r="L82">
        <v>21811.6805323835</v>
      </c>
      <c r="M82">
        <v>1191.17987729624</v>
      </c>
      <c r="N82">
        <f t="shared" ref="N82:N83" si="35">J82/J84</f>
        <v>0.99823320562762508</v>
      </c>
    </row>
    <row r="83" spans="1:14" x14ac:dyDescent="0.3">
      <c r="A83" t="s">
        <v>18</v>
      </c>
      <c r="B83" t="s">
        <v>19</v>
      </c>
      <c r="C83" t="s">
        <v>20</v>
      </c>
      <c r="D83">
        <v>111549</v>
      </c>
      <c r="E83">
        <v>32.869999999999997</v>
      </c>
      <c r="F83">
        <v>-117.15</v>
      </c>
      <c r="G83">
        <v>2020</v>
      </c>
      <c r="H83">
        <v>0</v>
      </c>
      <c r="I83" t="s">
        <v>17</v>
      </c>
      <c r="J83">
        <v>4038.44742417825</v>
      </c>
      <c r="K83">
        <v>11277.1718964382</v>
      </c>
      <c r="L83">
        <v>24064.1625094152</v>
      </c>
      <c r="M83">
        <v>1006.98285747844</v>
      </c>
      <c r="N83">
        <f t="shared" si="35"/>
        <v>0.99906209165227289</v>
      </c>
    </row>
    <row r="84" spans="1:14" x14ac:dyDescent="0.3">
      <c r="A84" t="s">
        <v>18</v>
      </c>
      <c r="B84" t="s">
        <v>19</v>
      </c>
      <c r="C84" t="s">
        <v>20</v>
      </c>
      <c r="D84">
        <v>111549</v>
      </c>
      <c r="E84">
        <v>32.869999999999997</v>
      </c>
      <c r="F84">
        <v>-117.15</v>
      </c>
      <c r="G84">
        <v>2020</v>
      </c>
      <c r="H84">
        <v>20</v>
      </c>
      <c r="I84" t="s">
        <v>16</v>
      </c>
      <c r="J84">
        <v>3861.0721248619898</v>
      </c>
      <c r="K84">
        <v>11048.1495415398</v>
      </c>
      <c r="L84">
        <v>21842.4588960316</v>
      </c>
      <c r="M84">
        <v>1184.3581567947001</v>
      </c>
      <c r="N84">
        <f t="shared" ref="N84:N115" si="36">J84/J84</f>
        <v>1</v>
      </c>
    </row>
    <row r="85" spans="1:14" x14ac:dyDescent="0.3">
      <c r="A85" t="s">
        <v>18</v>
      </c>
      <c r="B85" t="s">
        <v>19</v>
      </c>
      <c r="C85" t="s">
        <v>20</v>
      </c>
      <c r="D85">
        <v>111549</v>
      </c>
      <c r="E85">
        <v>32.869999999999997</v>
      </c>
      <c r="F85">
        <v>-117.15</v>
      </c>
      <c r="G85">
        <v>2020</v>
      </c>
      <c r="H85">
        <v>20</v>
      </c>
      <c r="I85" t="s">
        <v>17</v>
      </c>
      <c r="J85">
        <v>4042.2386735737</v>
      </c>
      <c r="K85">
        <v>11356.083425851401</v>
      </c>
      <c r="L85">
        <v>23943.283906457</v>
      </c>
      <c r="M85">
        <v>1003.191608083</v>
      </c>
      <c r="N85">
        <f t="shared" si="36"/>
        <v>1</v>
      </c>
    </row>
    <row r="86" spans="1:14" x14ac:dyDescent="0.3">
      <c r="A86" t="s">
        <v>18</v>
      </c>
      <c r="B86" t="s">
        <v>19</v>
      </c>
      <c r="C86" t="s">
        <v>20</v>
      </c>
      <c r="D86">
        <v>111549</v>
      </c>
      <c r="E86">
        <v>32.869999999999997</v>
      </c>
      <c r="F86">
        <v>-117.15</v>
      </c>
      <c r="G86">
        <v>2020</v>
      </c>
      <c r="H86">
        <v>40</v>
      </c>
      <c r="I86" t="s">
        <v>16</v>
      </c>
      <c r="J86">
        <v>3730.3207898802698</v>
      </c>
      <c r="K86">
        <v>11081.1080883303</v>
      </c>
      <c r="L86">
        <v>20060.4284080982</v>
      </c>
      <c r="M86">
        <v>1315.1094917764301</v>
      </c>
      <c r="N86">
        <f t="shared" ref="N86:N87" si="37">J86/J84</f>
        <v>0.96613600296669067</v>
      </c>
    </row>
    <row r="87" spans="1:14" x14ac:dyDescent="0.3">
      <c r="A87" t="s">
        <v>18</v>
      </c>
      <c r="B87" t="s">
        <v>19</v>
      </c>
      <c r="C87" t="s">
        <v>20</v>
      </c>
      <c r="D87">
        <v>111549</v>
      </c>
      <c r="E87">
        <v>32.869999999999997</v>
      </c>
      <c r="F87">
        <v>-117.15</v>
      </c>
      <c r="G87">
        <v>2020</v>
      </c>
      <c r="H87">
        <v>40</v>
      </c>
      <c r="I87" t="s">
        <v>17</v>
      </c>
      <c r="J87">
        <v>3874.4696041972002</v>
      </c>
      <c r="K87">
        <v>11397.840178865699</v>
      </c>
      <c r="L87">
        <v>21774.808044737802</v>
      </c>
      <c r="M87">
        <v>1170.9606774594899</v>
      </c>
      <c r="N87">
        <f t="shared" si="37"/>
        <v>0.95849600112103794</v>
      </c>
    </row>
    <row r="88" spans="1:14" x14ac:dyDescent="0.3">
      <c r="A88" t="s">
        <v>18</v>
      </c>
      <c r="B88" t="s">
        <v>19</v>
      </c>
      <c r="C88" t="s">
        <v>20</v>
      </c>
      <c r="D88">
        <v>111549</v>
      </c>
      <c r="E88">
        <v>32.869999999999997</v>
      </c>
      <c r="F88">
        <v>-117.15</v>
      </c>
      <c r="G88">
        <v>2020</v>
      </c>
      <c r="H88">
        <v>60</v>
      </c>
      <c r="I88" t="s">
        <v>16</v>
      </c>
      <c r="J88">
        <v>3484.2002868613699</v>
      </c>
      <c r="K88">
        <v>11127.651330761</v>
      </c>
      <c r="L88">
        <v>16193.838853015201</v>
      </c>
      <c r="M88">
        <v>1561.22999479532</v>
      </c>
      <c r="N88">
        <f t="shared" ref="N88:N89" si="38">J88/J84</f>
        <v>0.90239191970181321</v>
      </c>
    </row>
    <row r="89" spans="1:14" x14ac:dyDescent="0.3">
      <c r="A89" t="s">
        <v>18</v>
      </c>
      <c r="B89" t="s">
        <v>19</v>
      </c>
      <c r="C89" t="s">
        <v>20</v>
      </c>
      <c r="D89">
        <v>111549</v>
      </c>
      <c r="E89">
        <v>32.869999999999997</v>
      </c>
      <c r="F89">
        <v>-117.15</v>
      </c>
      <c r="G89">
        <v>2020</v>
      </c>
      <c r="H89">
        <v>60</v>
      </c>
      <c r="I89" t="s">
        <v>17</v>
      </c>
      <c r="J89">
        <v>3605.8678469126598</v>
      </c>
      <c r="K89">
        <v>11449.9564994435</v>
      </c>
      <c r="L89">
        <v>17618.787314557001</v>
      </c>
      <c r="M89">
        <v>1439.56243474404</v>
      </c>
      <c r="N89">
        <f t="shared" si="38"/>
        <v>0.89204723869626201</v>
      </c>
    </row>
    <row r="90" spans="1:14" x14ac:dyDescent="0.3">
      <c r="A90" t="s">
        <v>18</v>
      </c>
      <c r="B90" t="s">
        <v>19</v>
      </c>
      <c r="C90" t="s">
        <v>20</v>
      </c>
      <c r="D90">
        <v>111549</v>
      </c>
      <c r="E90">
        <v>32.869999999999997</v>
      </c>
      <c r="F90">
        <v>-117.15</v>
      </c>
      <c r="G90">
        <v>2020</v>
      </c>
      <c r="H90">
        <v>80</v>
      </c>
      <c r="I90" t="s">
        <v>16</v>
      </c>
      <c r="J90">
        <v>3146.2895713818598</v>
      </c>
      <c r="K90">
        <v>11188.4139605698</v>
      </c>
      <c r="L90">
        <v>12683.4837640244</v>
      </c>
      <c r="M90">
        <v>1899.1407102748401</v>
      </c>
      <c r="N90">
        <f t="shared" ref="N90:N91" si="39">J90/J84</f>
        <v>0.81487459172866938</v>
      </c>
    </row>
    <row r="91" spans="1:14" x14ac:dyDescent="0.3">
      <c r="A91" t="s">
        <v>18</v>
      </c>
      <c r="B91" t="s">
        <v>19</v>
      </c>
      <c r="C91" t="s">
        <v>20</v>
      </c>
      <c r="D91">
        <v>111549</v>
      </c>
      <c r="E91">
        <v>32.869999999999997</v>
      </c>
      <c r="F91">
        <v>-117.15</v>
      </c>
      <c r="G91">
        <v>2020</v>
      </c>
      <c r="H91">
        <v>80</v>
      </c>
      <c r="I91" t="s">
        <v>17</v>
      </c>
      <c r="J91">
        <v>3256.4938515756298</v>
      </c>
      <c r="K91">
        <v>11513.008655178501</v>
      </c>
      <c r="L91">
        <v>14024.931542858199</v>
      </c>
      <c r="M91">
        <v>1788.9364300810601</v>
      </c>
      <c r="N91">
        <f t="shared" si="39"/>
        <v>0.80561642063965466</v>
      </c>
    </row>
    <row r="92" spans="1:14" x14ac:dyDescent="0.3">
      <c r="A92" t="s">
        <v>18</v>
      </c>
      <c r="B92" t="s">
        <v>19</v>
      </c>
      <c r="C92" t="s">
        <v>20</v>
      </c>
      <c r="D92">
        <v>111549</v>
      </c>
      <c r="E92">
        <v>32.869999999999997</v>
      </c>
      <c r="F92">
        <v>-117.15</v>
      </c>
      <c r="G92">
        <v>2021</v>
      </c>
      <c r="H92">
        <v>0</v>
      </c>
      <c r="I92" t="s">
        <v>16</v>
      </c>
      <c r="J92">
        <v>3794.5006294648001</v>
      </c>
      <c r="K92">
        <v>10961.4531271747</v>
      </c>
      <c r="L92">
        <v>21148.253633008098</v>
      </c>
      <c r="M92">
        <v>900.25947622029105</v>
      </c>
      <c r="N92">
        <f t="shared" ref="N92:N93" si="40">J92/J94</f>
        <v>0.99944438926607904</v>
      </c>
    </row>
    <row r="93" spans="1:14" x14ac:dyDescent="0.3">
      <c r="A93" t="s">
        <v>18</v>
      </c>
      <c r="B93" t="s">
        <v>19</v>
      </c>
      <c r="C93" t="s">
        <v>20</v>
      </c>
      <c r="D93">
        <v>111549</v>
      </c>
      <c r="E93">
        <v>32.869999999999997</v>
      </c>
      <c r="F93">
        <v>-117.15</v>
      </c>
      <c r="G93">
        <v>2021</v>
      </c>
      <c r="H93">
        <v>0</v>
      </c>
      <c r="I93" t="s">
        <v>17</v>
      </c>
      <c r="J93">
        <v>3812.8214303293698</v>
      </c>
      <c r="K93">
        <v>10955.116802414401</v>
      </c>
      <c r="L93">
        <v>21478.331432728399</v>
      </c>
      <c r="M93">
        <v>881.93867535571906</v>
      </c>
      <c r="N93">
        <f t="shared" si="40"/>
        <v>0.99401495758919689</v>
      </c>
    </row>
    <row r="94" spans="1:14" x14ac:dyDescent="0.3">
      <c r="A94" t="s">
        <v>18</v>
      </c>
      <c r="B94" t="s">
        <v>19</v>
      </c>
      <c r="C94" t="s">
        <v>20</v>
      </c>
      <c r="D94">
        <v>111549</v>
      </c>
      <c r="E94">
        <v>32.869999999999997</v>
      </c>
      <c r="F94">
        <v>-117.15</v>
      </c>
      <c r="G94">
        <v>2021</v>
      </c>
      <c r="H94">
        <v>20</v>
      </c>
      <c r="I94" t="s">
        <v>16</v>
      </c>
      <c r="J94">
        <v>3796.61006677041</v>
      </c>
      <c r="K94">
        <v>11039.1209041438</v>
      </c>
      <c r="L94">
        <v>21126.438931480701</v>
      </c>
      <c r="M94">
        <v>898.150038914672</v>
      </c>
      <c r="N94">
        <f t="shared" ref="N94:N125" si="41">J94/J94</f>
        <v>1</v>
      </c>
    </row>
    <row r="95" spans="1:14" x14ac:dyDescent="0.3">
      <c r="A95" t="s">
        <v>18</v>
      </c>
      <c r="B95" t="s">
        <v>19</v>
      </c>
      <c r="C95" t="s">
        <v>20</v>
      </c>
      <c r="D95">
        <v>111549</v>
      </c>
      <c r="E95">
        <v>32.869999999999997</v>
      </c>
      <c r="F95">
        <v>-117.15</v>
      </c>
      <c r="G95">
        <v>2021</v>
      </c>
      <c r="H95">
        <v>20</v>
      </c>
      <c r="I95" t="s">
        <v>17</v>
      </c>
      <c r="J95">
        <v>3835.7787286990902</v>
      </c>
      <c r="K95">
        <v>11040.9304918858</v>
      </c>
      <c r="L95">
        <v>21590.390542653298</v>
      </c>
      <c r="M95">
        <v>858.98137698599396</v>
      </c>
      <c r="N95">
        <f t="shared" si="41"/>
        <v>1</v>
      </c>
    </row>
    <row r="96" spans="1:14" x14ac:dyDescent="0.3">
      <c r="A96" t="s">
        <v>18</v>
      </c>
      <c r="B96" t="s">
        <v>19</v>
      </c>
      <c r="C96" t="s">
        <v>20</v>
      </c>
      <c r="D96">
        <v>111549</v>
      </c>
      <c r="E96">
        <v>32.869999999999997</v>
      </c>
      <c r="F96">
        <v>-117.15</v>
      </c>
      <c r="G96">
        <v>2021</v>
      </c>
      <c r="H96">
        <v>40</v>
      </c>
      <c r="I96" t="s">
        <v>16</v>
      </c>
      <c r="J96">
        <v>3635.2481543775498</v>
      </c>
      <c r="K96">
        <v>11076.791865540699</v>
      </c>
      <c r="L96">
        <v>18975.628598158</v>
      </c>
      <c r="M96">
        <v>1059.5119513075299</v>
      </c>
      <c r="N96">
        <f t="shared" ref="N96:N97" si="42">J96/J94</f>
        <v>0.95749842371088612</v>
      </c>
    </row>
    <row r="97" spans="1:14" x14ac:dyDescent="0.3">
      <c r="A97" t="s">
        <v>18</v>
      </c>
      <c r="B97" t="s">
        <v>19</v>
      </c>
      <c r="C97" t="s">
        <v>20</v>
      </c>
      <c r="D97">
        <v>111549</v>
      </c>
      <c r="E97">
        <v>32.869999999999997</v>
      </c>
      <c r="F97">
        <v>-117.15</v>
      </c>
      <c r="G97">
        <v>2021</v>
      </c>
      <c r="H97">
        <v>40</v>
      </c>
      <c r="I97" t="s">
        <v>17</v>
      </c>
      <c r="J97">
        <v>3703.5228475600202</v>
      </c>
      <c r="K97">
        <v>11075.475733740001</v>
      </c>
      <c r="L97">
        <v>19824.437334910901</v>
      </c>
      <c r="M97">
        <v>991.23725812507098</v>
      </c>
      <c r="N97">
        <f t="shared" si="42"/>
        <v>0.96552046129524138</v>
      </c>
    </row>
    <row r="98" spans="1:14" x14ac:dyDescent="0.3">
      <c r="A98" t="s">
        <v>18</v>
      </c>
      <c r="B98" t="s">
        <v>19</v>
      </c>
      <c r="C98" t="s">
        <v>20</v>
      </c>
      <c r="D98">
        <v>111549</v>
      </c>
      <c r="E98">
        <v>32.869999999999997</v>
      </c>
      <c r="F98">
        <v>-117.15</v>
      </c>
      <c r="G98">
        <v>2021</v>
      </c>
      <c r="H98">
        <v>60</v>
      </c>
      <c r="I98" t="s">
        <v>16</v>
      </c>
      <c r="J98">
        <v>3363.9757351512999</v>
      </c>
      <c r="K98">
        <v>11127.075224689001</v>
      </c>
      <c r="L98">
        <v>14909.3698229612</v>
      </c>
      <c r="M98">
        <v>1330.78437053378</v>
      </c>
      <c r="N98">
        <f t="shared" ref="N98:N99" si="43">J98/J94</f>
        <v>0.88604720421364447</v>
      </c>
    </row>
    <row r="99" spans="1:14" x14ac:dyDescent="0.3">
      <c r="A99" t="s">
        <v>18</v>
      </c>
      <c r="B99" t="s">
        <v>19</v>
      </c>
      <c r="C99" t="s">
        <v>20</v>
      </c>
      <c r="D99">
        <v>111549</v>
      </c>
      <c r="E99">
        <v>32.869999999999997</v>
      </c>
      <c r="F99">
        <v>-117.15</v>
      </c>
      <c r="G99">
        <v>2021</v>
      </c>
      <c r="H99">
        <v>60</v>
      </c>
      <c r="I99" t="s">
        <v>17</v>
      </c>
      <c r="J99">
        <v>3451.19721949114</v>
      </c>
      <c r="K99">
        <v>11124.9997403896</v>
      </c>
      <c r="L99">
        <v>15790.891202074101</v>
      </c>
      <c r="M99">
        <v>1243.5628861939399</v>
      </c>
      <c r="N99">
        <f t="shared" si="43"/>
        <v>0.89973834873984471</v>
      </c>
    </row>
    <row r="100" spans="1:14" x14ac:dyDescent="0.3">
      <c r="A100" t="s">
        <v>18</v>
      </c>
      <c r="B100" t="s">
        <v>19</v>
      </c>
      <c r="C100" t="s">
        <v>20</v>
      </c>
      <c r="D100">
        <v>111549</v>
      </c>
      <c r="E100">
        <v>32.869999999999997</v>
      </c>
      <c r="F100">
        <v>-117.15</v>
      </c>
      <c r="G100">
        <v>2021</v>
      </c>
      <c r="H100">
        <v>80</v>
      </c>
      <c r="I100" t="s">
        <v>16</v>
      </c>
      <c r="J100">
        <v>3019.2340615445801</v>
      </c>
      <c r="K100">
        <v>11189.0468699501</v>
      </c>
      <c r="L100">
        <v>11232.6721809724</v>
      </c>
      <c r="M100">
        <v>1675.5260441405001</v>
      </c>
      <c r="N100">
        <f t="shared" ref="N100:N101" si="44">J100/J94</f>
        <v>0.79524470736940722</v>
      </c>
    </row>
    <row r="101" spans="1:14" x14ac:dyDescent="0.3">
      <c r="A101" t="s">
        <v>18</v>
      </c>
      <c r="B101" t="s">
        <v>19</v>
      </c>
      <c r="C101" t="s">
        <v>20</v>
      </c>
      <c r="D101">
        <v>111549</v>
      </c>
      <c r="E101">
        <v>32.869999999999997</v>
      </c>
      <c r="F101">
        <v>-117.15</v>
      </c>
      <c r="G101">
        <v>2021</v>
      </c>
      <c r="H101">
        <v>80</v>
      </c>
      <c r="I101" t="s">
        <v>17</v>
      </c>
      <c r="J101">
        <v>3084.0211213801499</v>
      </c>
      <c r="K101">
        <v>11191.384109570999</v>
      </c>
      <c r="L101">
        <v>11902.605646640901</v>
      </c>
      <c r="M101">
        <v>1610.73898430493</v>
      </c>
      <c r="N101">
        <f t="shared" si="44"/>
        <v>0.80401434480713652</v>
      </c>
    </row>
    <row r="102" spans="1:14" x14ac:dyDescent="0.3">
      <c r="A102" t="s">
        <v>18</v>
      </c>
      <c r="B102" t="s">
        <v>19</v>
      </c>
      <c r="C102" t="s">
        <v>20</v>
      </c>
      <c r="D102">
        <v>111549</v>
      </c>
      <c r="E102">
        <v>32.869999999999997</v>
      </c>
      <c r="F102">
        <v>-117.15</v>
      </c>
      <c r="G102">
        <v>2022</v>
      </c>
      <c r="H102">
        <v>0</v>
      </c>
      <c r="I102" t="s">
        <v>16</v>
      </c>
      <c r="J102">
        <v>3905.0417252920402</v>
      </c>
      <c r="K102">
        <v>10955.0172797952</v>
      </c>
      <c r="L102">
        <v>22403.819595769601</v>
      </c>
      <c r="M102">
        <v>1206.83563268739</v>
      </c>
      <c r="N102">
        <f t="shared" ref="N102:N103" si="45">J102/J104</f>
        <v>0.99409548859310337</v>
      </c>
    </row>
    <row r="103" spans="1:14" x14ac:dyDescent="0.3">
      <c r="A103" t="s">
        <v>18</v>
      </c>
      <c r="B103" t="s">
        <v>19</v>
      </c>
      <c r="C103" t="s">
        <v>20</v>
      </c>
      <c r="D103">
        <v>111549</v>
      </c>
      <c r="E103">
        <v>32.869999999999997</v>
      </c>
      <c r="F103">
        <v>-117.15</v>
      </c>
      <c r="G103">
        <v>2022</v>
      </c>
      <c r="H103">
        <v>0</v>
      </c>
      <c r="I103" t="s">
        <v>17</v>
      </c>
      <c r="J103">
        <v>3999.26515325736</v>
      </c>
      <c r="K103">
        <v>11401.780757987901</v>
      </c>
      <c r="L103">
        <v>23570.5909471919</v>
      </c>
      <c r="M103">
        <v>1112.6122047220599</v>
      </c>
      <c r="N103">
        <f t="shared" si="45"/>
        <v>0.99567596204758535</v>
      </c>
    </row>
    <row r="104" spans="1:14" x14ac:dyDescent="0.3">
      <c r="A104" t="s">
        <v>18</v>
      </c>
      <c r="B104" t="s">
        <v>19</v>
      </c>
      <c r="C104" t="s">
        <v>20</v>
      </c>
      <c r="D104">
        <v>111549</v>
      </c>
      <c r="E104">
        <v>32.869999999999997</v>
      </c>
      <c r="F104">
        <v>-117.15</v>
      </c>
      <c r="G104">
        <v>2022</v>
      </c>
      <c r="H104">
        <v>20</v>
      </c>
      <c r="I104" t="s">
        <v>16</v>
      </c>
      <c r="J104">
        <v>3928.2360397980101</v>
      </c>
      <c r="K104">
        <v>11043.3562441098</v>
      </c>
      <c r="L104">
        <v>22533.0943361711</v>
      </c>
      <c r="M104">
        <v>1183.64131818141</v>
      </c>
      <c r="N104">
        <f t="shared" ref="N104:N135" si="46">J104/J104</f>
        <v>1</v>
      </c>
    </row>
    <row r="105" spans="1:14" x14ac:dyDescent="0.3">
      <c r="A105" t="s">
        <v>18</v>
      </c>
      <c r="B105" t="s">
        <v>19</v>
      </c>
      <c r="C105" t="s">
        <v>20</v>
      </c>
      <c r="D105">
        <v>111549</v>
      </c>
      <c r="E105">
        <v>32.869999999999997</v>
      </c>
      <c r="F105">
        <v>-117.15</v>
      </c>
      <c r="G105">
        <v>2022</v>
      </c>
      <c r="H105">
        <v>20</v>
      </c>
      <c r="I105" t="s">
        <v>17</v>
      </c>
      <c r="J105">
        <v>4016.6332277751899</v>
      </c>
      <c r="K105">
        <v>11487.2053898702</v>
      </c>
      <c r="L105">
        <v>23635.181932803302</v>
      </c>
      <c r="M105">
        <v>1095.24413020424</v>
      </c>
      <c r="N105">
        <f t="shared" si="46"/>
        <v>1</v>
      </c>
    </row>
    <row r="106" spans="1:14" x14ac:dyDescent="0.3">
      <c r="A106" t="s">
        <v>18</v>
      </c>
      <c r="B106" t="s">
        <v>19</v>
      </c>
      <c r="C106" t="s">
        <v>20</v>
      </c>
      <c r="D106">
        <v>111549</v>
      </c>
      <c r="E106">
        <v>32.869999999999997</v>
      </c>
      <c r="F106">
        <v>-117.15</v>
      </c>
      <c r="G106">
        <v>2022</v>
      </c>
      <c r="H106">
        <v>40</v>
      </c>
      <c r="I106" t="s">
        <v>16</v>
      </c>
      <c r="J106">
        <v>3787.8443243177499</v>
      </c>
      <c r="K106">
        <v>11077.594487864</v>
      </c>
      <c r="L106">
        <v>20694.8758766141</v>
      </c>
      <c r="M106">
        <v>1324.0330336616801</v>
      </c>
      <c r="N106">
        <f t="shared" ref="N106:N107" si="47">J106/J104</f>
        <v>0.96426087585931342</v>
      </c>
    </row>
    <row r="107" spans="1:14" x14ac:dyDescent="0.3">
      <c r="A107" t="s">
        <v>18</v>
      </c>
      <c r="B107" t="s">
        <v>19</v>
      </c>
      <c r="C107" t="s">
        <v>20</v>
      </c>
      <c r="D107">
        <v>111549</v>
      </c>
      <c r="E107">
        <v>32.869999999999997</v>
      </c>
      <c r="F107">
        <v>-117.15</v>
      </c>
      <c r="G107">
        <v>2022</v>
      </c>
      <c r="H107">
        <v>40</v>
      </c>
      <c r="I107" t="s">
        <v>17</v>
      </c>
      <c r="J107">
        <v>3878.8439419114202</v>
      </c>
      <c r="K107">
        <v>11521.997993771</v>
      </c>
      <c r="L107">
        <v>21777.250134499802</v>
      </c>
      <c r="M107">
        <v>1233.03341606801</v>
      </c>
      <c r="N107">
        <f t="shared" si="47"/>
        <v>0.96569532789029611</v>
      </c>
    </row>
    <row r="108" spans="1:14" x14ac:dyDescent="0.3">
      <c r="A108" t="s">
        <v>18</v>
      </c>
      <c r="B108" t="s">
        <v>19</v>
      </c>
      <c r="C108" t="s">
        <v>20</v>
      </c>
      <c r="D108">
        <v>111549</v>
      </c>
      <c r="E108">
        <v>32.869999999999997</v>
      </c>
      <c r="F108">
        <v>-117.15</v>
      </c>
      <c r="G108">
        <v>2022</v>
      </c>
      <c r="H108">
        <v>60</v>
      </c>
      <c r="I108" t="s">
        <v>16</v>
      </c>
      <c r="J108">
        <v>3539.6956574323099</v>
      </c>
      <c r="K108">
        <v>11124.9244302355</v>
      </c>
      <c r="L108">
        <v>16751.6053128985</v>
      </c>
      <c r="M108">
        <v>1572.18170054711</v>
      </c>
      <c r="N108">
        <f t="shared" ref="N108:N109" si="48">J108/J104</f>
        <v>0.90109036767920925</v>
      </c>
    </row>
    <row r="109" spans="1:14" x14ac:dyDescent="0.3">
      <c r="A109" t="s">
        <v>18</v>
      </c>
      <c r="B109" t="s">
        <v>19</v>
      </c>
      <c r="C109" t="s">
        <v>20</v>
      </c>
      <c r="D109">
        <v>111549</v>
      </c>
      <c r="E109">
        <v>32.869999999999997</v>
      </c>
      <c r="F109">
        <v>-117.15</v>
      </c>
      <c r="G109">
        <v>2022</v>
      </c>
      <c r="H109">
        <v>60</v>
      </c>
      <c r="I109" t="s">
        <v>17</v>
      </c>
      <c r="J109">
        <v>3621.39077737158</v>
      </c>
      <c r="K109">
        <v>11571.2581659875</v>
      </c>
      <c r="L109">
        <v>17749.611647825099</v>
      </c>
      <c r="M109">
        <v>1490.4865806078401</v>
      </c>
      <c r="N109">
        <f t="shared" si="48"/>
        <v>0.90159857074564553</v>
      </c>
    </row>
    <row r="110" spans="1:14" x14ac:dyDescent="0.3">
      <c r="A110" t="s">
        <v>18</v>
      </c>
      <c r="B110" t="s">
        <v>19</v>
      </c>
      <c r="C110" t="s">
        <v>20</v>
      </c>
      <c r="D110">
        <v>111549</v>
      </c>
      <c r="E110">
        <v>32.869999999999997</v>
      </c>
      <c r="F110">
        <v>-117.15</v>
      </c>
      <c r="G110">
        <v>2022</v>
      </c>
      <c r="H110">
        <v>80</v>
      </c>
      <c r="I110" t="s">
        <v>16</v>
      </c>
      <c r="J110">
        <v>3179.5738582018198</v>
      </c>
      <c r="K110">
        <v>11188.654936020999</v>
      </c>
      <c r="L110">
        <v>13021.337680537399</v>
      </c>
      <c r="M110">
        <v>1932.3034997776101</v>
      </c>
      <c r="N110">
        <f t="shared" ref="N110:N111" si="49">J110/J104</f>
        <v>0.809415174136357</v>
      </c>
    </row>
    <row r="111" spans="1:14" x14ac:dyDescent="0.3">
      <c r="A111" t="s">
        <v>18</v>
      </c>
      <c r="B111" t="s">
        <v>19</v>
      </c>
      <c r="C111" t="s">
        <v>20</v>
      </c>
      <c r="D111">
        <v>111549</v>
      </c>
      <c r="E111">
        <v>32.869999999999997</v>
      </c>
      <c r="F111">
        <v>-117.15</v>
      </c>
      <c r="G111">
        <v>2022</v>
      </c>
      <c r="H111">
        <v>80</v>
      </c>
      <c r="I111" t="s">
        <v>17</v>
      </c>
      <c r="J111">
        <v>3251.7767775020502</v>
      </c>
      <c r="K111">
        <v>11636.6699284687</v>
      </c>
      <c r="L111">
        <v>13990.27146958</v>
      </c>
      <c r="M111">
        <v>1860.1005804773799</v>
      </c>
      <c r="N111">
        <f t="shared" si="49"/>
        <v>0.80957772171376641</v>
      </c>
    </row>
    <row r="112" spans="1:14" x14ac:dyDescent="0.3">
      <c r="A112" t="s">
        <v>18</v>
      </c>
      <c r="B112" t="s">
        <v>19</v>
      </c>
      <c r="C112" t="s">
        <v>20</v>
      </c>
      <c r="D112">
        <v>111549</v>
      </c>
      <c r="E112">
        <v>32.869999999999997</v>
      </c>
      <c r="F112">
        <v>-117.15</v>
      </c>
      <c r="G112">
        <v>2023</v>
      </c>
      <c r="H112">
        <v>0</v>
      </c>
      <c r="I112" t="s">
        <v>16</v>
      </c>
      <c r="J112">
        <v>3578.7288778351199</v>
      </c>
      <c r="K112">
        <v>10981.8451765877</v>
      </c>
      <c r="L112">
        <v>18772.1618070203</v>
      </c>
      <c r="M112">
        <v>770.80556328516104</v>
      </c>
      <c r="N112">
        <f t="shared" ref="N112:N113" si="50">J112/J114</f>
        <v>1.0016131207252124</v>
      </c>
    </row>
    <row r="113" spans="1:15" x14ac:dyDescent="0.3">
      <c r="A113" t="s">
        <v>18</v>
      </c>
      <c r="B113" t="s">
        <v>19</v>
      </c>
      <c r="C113" t="s">
        <v>20</v>
      </c>
      <c r="D113">
        <v>111549</v>
      </c>
      <c r="E113">
        <v>32.869999999999997</v>
      </c>
      <c r="F113">
        <v>-117.15</v>
      </c>
      <c r="G113">
        <v>2023</v>
      </c>
      <c r="H113">
        <v>0</v>
      </c>
      <c r="I113" t="s">
        <v>17</v>
      </c>
      <c r="J113">
        <v>3551.8045602551101</v>
      </c>
      <c r="K113">
        <v>10313.7015388419</v>
      </c>
      <c r="L113">
        <v>18509.1163477675</v>
      </c>
      <c r="M113">
        <v>797.72988086517205</v>
      </c>
      <c r="N113">
        <f t="shared" si="50"/>
        <v>0.99524509515597881</v>
      </c>
    </row>
    <row r="114" spans="1:15" x14ac:dyDescent="0.3">
      <c r="A114" t="s">
        <v>18</v>
      </c>
      <c r="B114" t="s">
        <v>19</v>
      </c>
      <c r="C114" t="s">
        <v>20</v>
      </c>
      <c r="D114">
        <v>111549</v>
      </c>
      <c r="E114">
        <v>32.869999999999997</v>
      </c>
      <c r="F114">
        <v>-117.15</v>
      </c>
      <c r="G114">
        <v>2023</v>
      </c>
      <c r="H114">
        <v>20</v>
      </c>
      <c r="I114" t="s">
        <v>16</v>
      </c>
      <c r="J114">
        <v>3572.9652535341802</v>
      </c>
      <c r="K114">
        <v>11045.4874628466</v>
      </c>
      <c r="L114">
        <v>18647.465997079998</v>
      </c>
      <c r="M114">
        <v>776.569187586103</v>
      </c>
      <c r="N114">
        <f t="shared" ref="N114:N145" si="51">J114/J114</f>
        <v>1</v>
      </c>
    </row>
    <row r="115" spans="1:15" x14ac:dyDescent="0.3">
      <c r="A115" t="s">
        <v>18</v>
      </c>
      <c r="B115" t="s">
        <v>19</v>
      </c>
      <c r="C115" t="s">
        <v>20</v>
      </c>
      <c r="D115">
        <v>111549</v>
      </c>
      <c r="E115">
        <v>32.869999999999997</v>
      </c>
      <c r="F115">
        <v>-117.15</v>
      </c>
      <c r="G115">
        <v>2023</v>
      </c>
      <c r="H115">
        <v>20</v>
      </c>
      <c r="I115" t="s">
        <v>17</v>
      </c>
      <c r="J115">
        <v>3568.7737397976898</v>
      </c>
      <c r="K115">
        <v>10380.7888715111</v>
      </c>
      <c r="L115">
        <v>18568.410096757001</v>
      </c>
      <c r="M115">
        <v>780.76070132258997</v>
      </c>
      <c r="N115">
        <f t="shared" si="51"/>
        <v>1</v>
      </c>
    </row>
    <row r="116" spans="1:15" x14ac:dyDescent="0.3">
      <c r="A116" t="s">
        <v>18</v>
      </c>
      <c r="B116" t="s">
        <v>19</v>
      </c>
      <c r="C116" t="s">
        <v>20</v>
      </c>
      <c r="D116">
        <v>111549</v>
      </c>
      <c r="E116">
        <v>32.869999999999997</v>
      </c>
      <c r="F116">
        <v>-117.15</v>
      </c>
      <c r="G116">
        <v>2023</v>
      </c>
      <c r="H116">
        <v>40</v>
      </c>
      <c r="I116" t="s">
        <v>16</v>
      </c>
      <c r="J116">
        <v>3432.0034456400399</v>
      </c>
      <c r="K116">
        <v>11078.6309232729</v>
      </c>
      <c r="L116">
        <v>16766.695524095801</v>
      </c>
      <c r="M116">
        <v>917.53099548023704</v>
      </c>
      <c r="N116">
        <f t="shared" ref="N116:N117" si="52">J116/J114</f>
        <v>0.96054766898314825</v>
      </c>
    </row>
    <row r="117" spans="1:15" x14ac:dyDescent="0.3">
      <c r="A117" t="s">
        <v>18</v>
      </c>
      <c r="B117" t="s">
        <v>19</v>
      </c>
      <c r="C117" t="s">
        <v>20</v>
      </c>
      <c r="D117">
        <v>111549</v>
      </c>
      <c r="E117">
        <v>32.869999999999997</v>
      </c>
      <c r="F117">
        <v>-117.15</v>
      </c>
      <c r="G117">
        <v>2023</v>
      </c>
      <c r="H117">
        <v>40</v>
      </c>
      <c r="I117" t="s">
        <v>17</v>
      </c>
      <c r="J117">
        <v>3449.1048909567699</v>
      </c>
      <c r="K117">
        <v>10412.0173224154</v>
      </c>
      <c r="L117">
        <v>16898.308991304399</v>
      </c>
      <c r="M117">
        <v>900.429550163513</v>
      </c>
      <c r="N117">
        <f t="shared" si="52"/>
        <v>0.96646779606495758</v>
      </c>
    </row>
    <row r="118" spans="1:15" x14ac:dyDescent="0.3">
      <c r="A118" t="s">
        <v>18</v>
      </c>
      <c r="B118" t="s">
        <v>19</v>
      </c>
      <c r="C118" t="s">
        <v>20</v>
      </c>
      <c r="D118">
        <v>111549</v>
      </c>
      <c r="E118">
        <v>32.869999999999997</v>
      </c>
      <c r="F118">
        <v>-117.15</v>
      </c>
      <c r="G118">
        <v>2023</v>
      </c>
      <c r="H118">
        <v>60</v>
      </c>
      <c r="I118" t="s">
        <v>16</v>
      </c>
      <c r="J118">
        <v>3183.5109277366801</v>
      </c>
      <c r="K118">
        <v>11126.5335354167</v>
      </c>
      <c r="L118">
        <v>12755.8652314999</v>
      </c>
      <c r="M118">
        <v>1166.0235133835899</v>
      </c>
      <c r="N118">
        <f t="shared" ref="N118:N119" si="53">J118/J114</f>
        <v>0.89099968844861466</v>
      </c>
    </row>
    <row r="119" spans="1:15" x14ac:dyDescent="0.3">
      <c r="A119" t="s">
        <v>18</v>
      </c>
      <c r="B119" t="s">
        <v>19</v>
      </c>
      <c r="C119" t="s">
        <v>20</v>
      </c>
      <c r="D119">
        <v>111549</v>
      </c>
      <c r="E119">
        <v>32.869999999999997</v>
      </c>
      <c r="F119">
        <v>-117.15</v>
      </c>
      <c r="G119">
        <v>2023</v>
      </c>
      <c r="H119">
        <v>60</v>
      </c>
      <c r="I119" t="s">
        <v>17</v>
      </c>
      <c r="J119">
        <v>3205.4378087426699</v>
      </c>
      <c r="K119">
        <v>10458.898334662599</v>
      </c>
      <c r="L119">
        <v>12975.5907658455</v>
      </c>
      <c r="M119">
        <v>1144.0966323775999</v>
      </c>
      <c r="N119">
        <f t="shared" si="53"/>
        <v>0.89819025874259628</v>
      </c>
    </row>
    <row r="120" spans="1:15" x14ac:dyDescent="0.3">
      <c r="A120" t="s">
        <v>18</v>
      </c>
      <c r="B120" t="s">
        <v>19</v>
      </c>
      <c r="C120" t="s">
        <v>20</v>
      </c>
      <c r="D120">
        <v>111549</v>
      </c>
      <c r="E120">
        <v>32.869999999999997</v>
      </c>
      <c r="F120">
        <v>-117.15</v>
      </c>
      <c r="G120">
        <v>2023</v>
      </c>
      <c r="H120">
        <v>80</v>
      </c>
      <c r="I120" t="s">
        <v>16</v>
      </c>
      <c r="J120">
        <v>2840.2715388845299</v>
      </c>
      <c r="K120">
        <v>11189.228958224199</v>
      </c>
      <c r="L120">
        <v>9126.2443421414591</v>
      </c>
      <c r="M120">
        <v>1509.2629022357401</v>
      </c>
      <c r="N120">
        <f t="shared" ref="N120:N121" si="54">J120/J114</f>
        <v>0.79493399385149066</v>
      </c>
    </row>
    <row r="121" spans="1:15" x14ac:dyDescent="0.3">
      <c r="A121" t="s">
        <v>18</v>
      </c>
      <c r="B121" t="s">
        <v>19</v>
      </c>
      <c r="C121" t="s">
        <v>20</v>
      </c>
      <c r="D121">
        <v>111549</v>
      </c>
      <c r="E121">
        <v>32.869999999999997</v>
      </c>
      <c r="F121">
        <v>-117.15</v>
      </c>
      <c r="G121">
        <v>2023</v>
      </c>
      <c r="H121">
        <v>80</v>
      </c>
      <c r="I121" t="s">
        <v>17</v>
      </c>
      <c r="J121">
        <v>2845.8095104918998</v>
      </c>
      <c r="K121">
        <v>10523.704347869099</v>
      </c>
      <c r="L121">
        <v>9191.2745383450201</v>
      </c>
      <c r="M121">
        <v>1503.72493062838</v>
      </c>
      <c r="N121">
        <f t="shared" si="54"/>
        <v>0.79741942694669843</v>
      </c>
    </row>
    <row r="122" spans="1:15" x14ac:dyDescent="0.3">
      <c r="A122" t="s">
        <v>21</v>
      </c>
      <c r="B122" t="s">
        <v>22</v>
      </c>
      <c r="C122" t="s">
        <v>23</v>
      </c>
      <c r="D122">
        <v>126745</v>
      </c>
      <c r="E122">
        <v>39.81</v>
      </c>
      <c r="F122">
        <v>-105.14</v>
      </c>
      <c r="G122">
        <v>2018</v>
      </c>
      <c r="H122">
        <v>0</v>
      </c>
      <c r="I122" t="s">
        <v>16</v>
      </c>
      <c r="J122">
        <v>1489.75240342597</v>
      </c>
      <c r="K122">
        <v>9757.43371112772</v>
      </c>
      <c r="L122">
        <v>-5531.1427375015601</v>
      </c>
      <c r="M122">
        <v>243.255243510073</v>
      </c>
      <c r="N122">
        <f t="shared" ref="N122:N123" si="55">J122/J124</f>
        <v>0.99349400192435455</v>
      </c>
    </row>
    <row r="123" spans="1:15" x14ac:dyDescent="0.3">
      <c r="A123" t="s">
        <v>21</v>
      </c>
      <c r="B123" t="s">
        <v>22</v>
      </c>
      <c r="C123" t="s">
        <v>23</v>
      </c>
      <c r="D123">
        <v>126745</v>
      </c>
      <c r="E123">
        <v>39.81</v>
      </c>
      <c r="F123">
        <v>-105.14</v>
      </c>
      <c r="G123">
        <v>2018</v>
      </c>
      <c r="H123">
        <v>0</v>
      </c>
      <c r="I123" t="s">
        <v>17</v>
      </c>
      <c r="J123">
        <v>1512.5485143748799</v>
      </c>
      <c r="K123">
        <v>9937.2242018438301</v>
      </c>
      <c r="L123">
        <v>-5268.1617933439902</v>
      </c>
      <c r="M123">
        <v>220.45913256115901</v>
      </c>
      <c r="N123">
        <f t="shared" si="55"/>
        <v>0.9924414017963854</v>
      </c>
      <c r="O123">
        <f>AVERAGE(N123,N133,N143,N153,N163,N173)</f>
        <v>0.99186602720075479</v>
      </c>
    </row>
    <row r="124" spans="1:15" x14ac:dyDescent="0.3">
      <c r="A124" t="s">
        <v>21</v>
      </c>
      <c r="B124" t="s">
        <v>22</v>
      </c>
      <c r="C124" t="s">
        <v>23</v>
      </c>
      <c r="D124">
        <v>126745</v>
      </c>
      <c r="E124">
        <v>39.81</v>
      </c>
      <c r="F124">
        <v>-105.14</v>
      </c>
      <c r="G124">
        <v>2018</v>
      </c>
      <c r="H124">
        <v>20</v>
      </c>
      <c r="I124" t="s">
        <v>16</v>
      </c>
      <c r="J124">
        <v>1499.50820089541</v>
      </c>
      <c r="K124">
        <v>9834.4493287217301</v>
      </c>
      <c r="L124">
        <v>-5405.5481967033402</v>
      </c>
      <c r="M124">
        <v>233.49944604063</v>
      </c>
      <c r="N124">
        <f t="shared" ref="N124:N155" si="56">J124/J124</f>
        <v>1</v>
      </c>
    </row>
    <row r="125" spans="1:15" x14ac:dyDescent="0.3">
      <c r="A125" t="s">
        <v>21</v>
      </c>
      <c r="B125" t="s">
        <v>22</v>
      </c>
      <c r="C125" t="s">
        <v>23</v>
      </c>
      <c r="D125">
        <v>126745</v>
      </c>
      <c r="E125">
        <v>39.81</v>
      </c>
      <c r="F125">
        <v>-105.14</v>
      </c>
      <c r="G125">
        <v>2018</v>
      </c>
      <c r="H125">
        <v>20</v>
      </c>
      <c r="I125" t="s">
        <v>17</v>
      </c>
      <c r="J125">
        <v>1524.0683345506</v>
      </c>
      <c r="K125">
        <v>10006.514319436201</v>
      </c>
      <c r="L125">
        <v>-5127.7936516321697</v>
      </c>
      <c r="M125">
        <v>208.93931238544101</v>
      </c>
      <c r="N125">
        <f t="shared" si="56"/>
        <v>1</v>
      </c>
      <c r="O125">
        <f>AVERAGE(N125,N135,N145,N155,N165,N175)</f>
        <v>1</v>
      </c>
    </row>
    <row r="126" spans="1:15" x14ac:dyDescent="0.3">
      <c r="A126" t="s">
        <v>21</v>
      </c>
      <c r="B126" t="s">
        <v>22</v>
      </c>
      <c r="C126" t="s">
        <v>23</v>
      </c>
      <c r="D126">
        <v>126745</v>
      </c>
      <c r="E126">
        <v>39.81</v>
      </c>
      <c r="F126">
        <v>-105.14</v>
      </c>
      <c r="G126">
        <v>2018</v>
      </c>
      <c r="H126">
        <v>40</v>
      </c>
      <c r="I126" t="s">
        <v>16</v>
      </c>
      <c r="J126">
        <v>1498.7281869476001</v>
      </c>
      <c r="K126">
        <v>9865.7645509717495</v>
      </c>
      <c r="L126">
        <v>-5453.3963168343798</v>
      </c>
      <c r="M126">
        <v>234.27945998843899</v>
      </c>
      <c r="N126">
        <f t="shared" ref="N126:N127" si="57">J126/J124</f>
        <v>0.99947982015213777</v>
      </c>
    </row>
    <row r="127" spans="1:15" x14ac:dyDescent="0.3">
      <c r="A127" t="s">
        <v>21</v>
      </c>
      <c r="B127" t="s">
        <v>22</v>
      </c>
      <c r="C127" t="s">
        <v>23</v>
      </c>
      <c r="D127">
        <v>126745</v>
      </c>
      <c r="E127">
        <v>39.81</v>
      </c>
      <c r="F127">
        <v>-105.14</v>
      </c>
      <c r="G127">
        <v>2018</v>
      </c>
      <c r="H127">
        <v>40</v>
      </c>
      <c r="I127" t="s">
        <v>17</v>
      </c>
      <c r="J127">
        <v>1522.7499086652999</v>
      </c>
      <c r="K127">
        <v>10035.450976780799</v>
      </c>
      <c r="L127">
        <v>-5165.4638130065396</v>
      </c>
      <c r="M127">
        <v>210.257738270738</v>
      </c>
      <c r="N127">
        <f t="shared" si="57"/>
        <v>0.99913492994020592</v>
      </c>
      <c r="O127">
        <f>AVERAGE(N127,N137,N147,N157,N167,N177)</f>
        <v>1.0004962135232576</v>
      </c>
    </row>
    <row r="128" spans="1:15" x14ac:dyDescent="0.3">
      <c r="A128" t="s">
        <v>21</v>
      </c>
      <c r="B128" t="s">
        <v>22</v>
      </c>
      <c r="C128" t="s">
        <v>23</v>
      </c>
      <c r="D128">
        <v>126745</v>
      </c>
      <c r="E128">
        <v>39.81</v>
      </c>
      <c r="F128">
        <v>-105.14</v>
      </c>
      <c r="G128">
        <v>2018</v>
      </c>
      <c r="H128">
        <v>60</v>
      </c>
      <c r="I128" t="s">
        <v>16</v>
      </c>
      <c r="J128">
        <v>1488.1183763863901</v>
      </c>
      <c r="K128">
        <v>9893.1794069394691</v>
      </c>
      <c r="L128">
        <v>-5617.3100563135804</v>
      </c>
      <c r="M128">
        <v>244.88927054965001</v>
      </c>
      <c r="N128">
        <f t="shared" ref="N128:N129" si="58">J128/J124</f>
        <v>0.99240429328614632</v>
      </c>
    </row>
    <row r="129" spans="1:15" x14ac:dyDescent="0.3">
      <c r="A129" t="s">
        <v>21</v>
      </c>
      <c r="B129" t="s">
        <v>22</v>
      </c>
      <c r="C129" t="s">
        <v>23</v>
      </c>
      <c r="D129">
        <v>126745</v>
      </c>
      <c r="E129">
        <v>39.81</v>
      </c>
      <c r="F129">
        <v>-105.14</v>
      </c>
      <c r="G129">
        <v>2018</v>
      </c>
      <c r="H129">
        <v>60</v>
      </c>
      <c r="I129" t="s">
        <v>17</v>
      </c>
      <c r="J129">
        <v>1516.9212584992499</v>
      </c>
      <c r="K129">
        <v>10060.5396374923</v>
      </c>
      <c r="L129">
        <v>-5308.1214239083201</v>
      </c>
      <c r="M129">
        <v>216.086388436791</v>
      </c>
      <c r="N129">
        <f t="shared" si="58"/>
        <v>0.99531052782258778</v>
      </c>
      <c r="O129">
        <f>AVERAGE(N129,N139,N149,N159,N169,N179)</f>
        <v>0.99630606282555301</v>
      </c>
    </row>
    <row r="130" spans="1:15" x14ac:dyDescent="0.3">
      <c r="A130" t="s">
        <v>21</v>
      </c>
      <c r="B130" t="s">
        <v>22</v>
      </c>
      <c r="C130" t="s">
        <v>23</v>
      </c>
      <c r="D130">
        <v>126745</v>
      </c>
      <c r="E130">
        <v>39.81</v>
      </c>
      <c r="F130">
        <v>-105.14</v>
      </c>
      <c r="G130">
        <v>2018</v>
      </c>
      <c r="H130">
        <v>80</v>
      </c>
      <c r="I130" t="s">
        <v>16</v>
      </c>
      <c r="J130">
        <v>1462.00238530198</v>
      </c>
      <c r="K130">
        <v>9934.7861272670307</v>
      </c>
      <c r="L130">
        <v>-7063.9375391727699</v>
      </c>
      <c r="M130">
        <v>271.005261634058</v>
      </c>
      <c r="N130">
        <f t="shared" ref="N130:N131" si="59">J130/J124</f>
        <v>0.97498792232611065</v>
      </c>
    </row>
    <row r="131" spans="1:15" x14ac:dyDescent="0.3">
      <c r="A131" t="s">
        <v>21</v>
      </c>
      <c r="B131" t="s">
        <v>22</v>
      </c>
      <c r="C131" t="s">
        <v>23</v>
      </c>
      <c r="D131">
        <v>126745</v>
      </c>
      <c r="E131">
        <v>39.81</v>
      </c>
      <c r="F131">
        <v>-105.14</v>
      </c>
      <c r="G131">
        <v>2018</v>
      </c>
      <c r="H131">
        <v>80</v>
      </c>
      <c r="I131" t="s">
        <v>17</v>
      </c>
      <c r="J131">
        <v>1494.51944599941</v>
      </c>
      <c r="K131">
        <v>10097.367998515399</v>
      </c>
      <c r="L131">
        <v>-6706.7996534346503</v>
      </c>
      <c r="M131">
        <v>238.48820093662599</v>
      </c>
      <c r="N131">
        <f t="shared" si="59"/>
        <v>0.98061183486244208</v>
      </c>
      <c r="O131">
        <f>AVERAGE(N131,N141,N151,N161,N171,N181)</f>
        <v>0.97982084858293439</v>
      </c>
    </row>
    <row r="132" spans="1:15" x14ac:dyDescent="0.3">
      <c r="A132" t="s">
        <v>21</v>
      </c>
      <c r="B132" t="s">
        <v>22</v>
      </c>
      <c r="C132" t="s">
        <v>23</v>
      </c>
      <c r="D132">
        <v>126745</v>
      </c>
      <c r="E132">
        <v>39.81</v>
      </c>
      <c r="F132">
        <v>-105.14</v>
      </c>
      <c r="G132">
        <v>2019</v>
      </c>
      <c r="H132">
        <v>0</v>
      </c>
      <c r="I132" t="s">
        <v>16</v>
      </c>
      <c r="J132">
        <v>1486.5287225104901</v>
      </c>
      <c r="K132">
        <v>9766.6622295504494</v>
      </c>
      <c r="L132">
        <v>-5578.4428258568496</v>
      </c>
      <c r="M132">
        <v>231.107069547473</v>
      </c>
      <c r="N132">
        <f t="shared" ref="N132:N133" si="60">J132/J134</f>
        <v>0.9942843674833779</v>
      </c>
    </row>
    <row r="133" spans="1:15" x14ac:dyDescent="0.3">
      <c r="A133" t="s">
        <v>21</v>
      </c>
      <c r="B133" t="s">
        <v>22</v>
      </c>
      <c r="C133" t="s">
        <v>23</v>
      </c>
      <c r="D133">
        <v>126745</v>
      </c>
      <c r="E133">
        <v>39.81</v>
      </c>
      <c r="F133">
        <v>-105.14</v>
      </c>
      <c r="G133">
        <v>2019</v>
      </c>
      <c r="H133">
        <v>0</v>
      </c>
      <c r="I133" t="s">
        <v>17</v>
      </c>
      <c r="J133">
        <v>1494.56316873895</v>
      </c>
      <c r="K133">
        <v>9842.7568704347705</v>
      </c>
      <c r="L133">
        <v>-5486.2635777707201</v>
      </c>
      <c r="M133">
        <v>223.07262331900901</v>
      </c>
      <c r="N133">
        <f t="shared" si="60"/>
        <v>0.99154882813470357</v>
      </c>
    </row>
    <row r="134" spans="1:15" x14ac:dyDescent="0.3">
      <c r="A134" t="s">
        <v>21</v>
      </c>
      <c r="B134" t="s">
        <v>22</v>
      </c>
      <c r="C134" t="s">
        <v>23</v>
      </c>
      <c r="D134">
        <v>126745</v>
      </c>
      <c r="E134">
        <v>39.81</v>
      </c>
      <c r="F134">
        <v>-105.14</v>
      </c>
      <c r="G134">
        <v>2019</v>
      </c>
      <c r="H134">
        <v>20</v>
      </c>
      <c r="I134" t="s">
        <v>16</v>
      </c>
      <c r="J134">
        <v>1495.0740161720801</v>
      </c>
      <c r="K134">
        <v>9843.40297984053</v>
      </c>
      <c r="L134">
        <v>-5444.4334881408004</v>
      </c>
      <c r="M134">
        <v>222.56177588588301</v>
      </c>
      <c r="N134">
        <f t="shared" ref="N134:N165" si="61">J134/J134</f>
        <v>1</v>
      </c>
    </row>
    <row r="135" spans="1:15" x14ac:dyDescent="0.3">
      <c r="A135" t="s">
        <v>21</v>
      </c>
      <c r="B135" t="s">
        <v>22</v>
      </c>
      <c r="C135" t="s">
        <v>23</v>
      </c>
      <c r="D135">
        <v>126745</v>
      </c>
      <c r="E135">
        <v>39.81</v>
      </c>
      <c r="F135">
        <v>-105.14</v>
      </c>
      <c r="G135">
        <v>2019</v>
      </c>
      <c r="H135">
        <v>20</v>
      </c>
      <c r="I135" t="s">
        <v>17</v>
      </c>
      <c r="J135">
        <v>1507.30163389988</v>
      </c>
      <c r="K135">
        <v>9925.4564796958093</v>
      </c>
      <c r="L135">
        <v>-5330.3922901411697</v>
      </c>
      <c r="M135">
        <v>210.33415815808101</v>
      </c>
      <c r="N135">
        <f t="shared" si="61"/>
        <v>1</v>
      </c>
    </row>
    <row r="136" spans="1:15" x14ac:dyDescent="0.3">
      <c r="A136" t="s">
        <v>21</v>
      </c>
      <c r="B136" t="s">
        <v>22</v>
      </c>
      <c r="C136" t="s">
        <v>23</v>
      </c>
      <c r="D136">
        <v>126745</v>
      </c>
      <c r="E136">
        <v>39.81</v>
      </c>
      <c r="F136">
        <v>-105.14</v>
      </c>
      <c r="G136">
        <v>2019</v>
      </c>
      <c r="H136">
        <v>40</v>
      </c>
      <c r="I136" t="s">
        <v>16</v>
      </c>
      <c r="J136">
        <v>1495.0615839995601</v>
      </c>
      <c r="K136">
        <v>9873.2773265730902</v>
      </c>
      <c r="L136">
        <v>-5485.4944851498203</v>
      </c>
      <c r="M136">
        <v>222.57420805839399</v>
      </c>
      <c r="N136">
        <f t="shared" ref="N136:N137" si="62">J136/J134</f>
        <v>0.99999168457722798</v>
      </c>
    </row>
    <row r="137" spans="1:15" x14ac:dyDescent="0.3">
      <c r="A137" t="s">
        <v>21</v>
      </c>
      <c r="B137" t="s">
        <v>22</v>
      </c>
      <c r="C137" t="s">
        <v>23</v>
      </c>
      <c r="D137">
        <v>126745</v>
      </c>
      <c r="E137">
        <v>39.81</v>
      </c>
      <c r="F137">
        <v>-105.14</v>
      </c>
      <c r="G137">
        <v>2019</v>
      </c>
      <c r="H137">
        <v>40</v>
      </c>
      <c r="I137" t="s">
        <v>17</v>
      </c>
      <c r="J137">
        <v>1509.3497878052699</v>
      </c>
      <c r="K137">
        <v>9957.7710535721708</v>
      </c>
      <c r="L137">
        <v>-5326.4423350218403</v>
      </c>
      <c r="M137">
        <v>208.286004252688</v>
      </c>
      <c r="N137">
        <f t="shared" si="62"/>
        <v>1.0013588215253841</v>
      </c>
    </row>
    <row r="138" spans="1:15" x14ac:dyDescent="0.3">
      <c r="A138" t="s">
        <v>21</v>
      </c>
      <c r="B138" t="s">
        <v>22</v>
      </c>
      <c r="C138" t="s">
        <v>23</v>
      </c>
      <c r="D138">
        <v>126745</v>
      </c>
      <c r="E138">
        <v>39.81</v>
      </c>
      <c r="F138">
        <v>-105.14</v>
      </c>
      <c r="G138">
        <v>2019</v>
      </c>
      <c r="H138">
        <v>60</v>
      </c>
      <c r="I138" t="s">
        <v>16</v>
      </c>
      <c r="J138">
        <v>1487.6012934307</v>
      </c>
      <c r="K138">
        <v>9896.2125563221598</v>
      </c>
      <c r="L138">
        <v>-5621.0707933764397</v>
      </c>
      <c r="M138">
        <v>230.03449862725901</v>
      </c>
      <c r="N138">
        <f t="shared" ref="N138:N139" si="63">J138/J134</f>
        <v>0.9950017707079728</v>
      </c>
    </row>
    <row r="139" spans="1:15" x14ac:dyDescent="0.3">
      <c r="A139" t="s">
        <v>21</v>
      </c>
      <c r="B139" t="s">
        <v>22</v>
      </c>
      <c r="C139" t="s">
        <v>23</v>
      </c>
      <c r="D139">
        <v>126745</v>
      </c>
      <c r="E139">
        <v>39.81</v>
      </c>
      <c r="F139">
        <v>-105.14</v>
      </c>
      <c r="G139">
        <v>2019</v>
      </c>
      <c r="H139">
        <v>60</v>
      </c>
      <c r="I139" t="s">
        <v>17</v>
      </c>
      <c r="J139">
        <v>1503.4916149261301</v>
      </c>
      <c r="K139">
        <v>9986.2718168738793</v>
      </c>
      <c r="L139">
        <v>-5456.6573477198199</v>
      </c>
      <c r="M139">
        <v>214.14417713182601</v>
      </c>
      <c r="N139">
        <f t="shared" si="63"/>
        <v>0.99747229161830586</v>
      </c>
    </row>
    <row r="140" spans="1:15" x14ac:dyDescent="0.3">
      <c r="A140" t="s">
        <v>21</v>
      </c>
      <c r="B140" t="s">
        <v>22</v>
      </c>
      <c r="C140" t="s">
        <v>23</v>
      </c>
      <c r="D140">
        <v>126745</v>
      </c>
      <c r="E140">
        <v>39.81</v>
      </c>
      <c r="F140">
        <v>-105.14</v>
      </c>
      <c r="G140">
        <v>2019</v>
      </c>
      <c r="H140">
        <v>80</v>
      </c>
      <c r="I140" t="s">
        <v>16</v>
      </c>
      <c r="J140">
        <v>1459.9782785968</v>
      </c>
      <c r="K140">
        <v>9936.13920241292</v>
      </c>
      <c r="L140">
        <v>-7074.3204501434802</v>
      </c>
      <c r="M140">
        <v>257.657513461159</v>
      </c>
      <c r="N140">
        <f t="shared" ref="N140:N141" si="64">J140/J134</f>
        <v>0.97652575244057982</v>
      </c>
    </row>
    <row r="141" spans="1:15" x14ac:dyDescent="0.3">
      <c r="A141" t="s">
        <v>21</v>
      </c>
      <c r="B141" t="s">
        <v>22</v>
      </c>
      <c r="C141" t="s">
        <v>23</v>
      </c>
      <c r="D141">
        <v>126745</v>
      </c>
      <c r="E141">
        <v>39.81</v>
      </c>
      <c r="F141">
        <v>-105.14</v>
      </c>
      <c r="G141">
        <v>2019</v>
      </c>
      <c r="H141">
        <v>80</v>
      </c>
      <c r="I141" t="s">
        <v>17</v>
      </c>
      <c r="J141">
        <v>1477.6578411748901</v>
      </c>
      <c r="K141">
        <v>10028.3098886958</v>
      </c>
      <c r="L141">
        <v>-6964.1231022399897</v>
      </c>
      <c r="M141">
        <v>239.97795088306901</v>
      </c>
      <c r="N141">
        <f t="shared" si="64"/>
        <v>0.98033320467629848</v>
      </c>
    </row>
    <row r="142" spans="1:15" x14ac:dyDescent="0.3">
      <c r="A142" t="s">
        <v>21</v>
      </c>
      <c r="B142" t="s">
        <v>22</v>
      </c>
      <c r="C142" t="s">
        <v>23</v>
      </c>
      <c r="D142">
        <v>126745</v>
      </c>
      <c r="E142">
        <v>39.81</v>
      </c>
      <c r="F142">
        <v>-105.14</v>
      </c>
      <c r="G142">
        <v>2020</v>
      </c>
      <c r="H142">
        <v>0</v>
      </c>
      <c r="I142" t="s">
        <v>16</v>
      </c>
      <c r="J142">
        <v>1487.19752522915</v>
      </c>
      <c r="K142">
        <v>9753.6707224289603</v>
      </c>
      <c r="L142">
        <v>-5578.0583545599602</v>
      </c>
      <c r="M142">
        <v>252.26009322607999</v>
      </c>
      <c r="N142">
        <f t="shared" ref="N142:N143" si="65">J142/J144</f>
        <v>0.99307202258597194</v>
      </c>
    </row>
    <row r="143" spans="1:15" x14ac:dyDescent="0.3">
      <c r="A143" t="s">
        <v>21</v>
      </c>
      <c r="B143" t="s">
        <v>22</v>
      </c>
      <c r="C143" t="s">
        <v>23</v>
      </c>
      <c r="D143">
        <v>126745</v>
      </c>
      <c r="E143">
        <v>39.81</v>
      </c>
      <c r="F143">
        <v>-105.14</v>
      </c>
      <c r="G143">
        <v>2020</v>
      </c>
      <c r="H143">
        <v>0</v>
      </c>
      <c r="I143" t="s">
        <v>17</v>
      </c>
      <c r="J143">
        <v>1546.0904665128701</v>
      </c>
      <c r="K143">
        <v>10210.1274265148</v>
      </c>
      <c r="L143">
        <v>-4886.1924003773602</v>
      </c>
      <c r="M143">
        <v>193.36715194236299</v>
      </c>
      <c r="N143">
        <f t="shared" si="65"/>
        <v>0.99340925689081361</v>
      </c>
    </row>
    <row r="144" spans="1:15" x14ac:dyDescent="0.3">
      <c r="A144" t="s">
        <v>21</v>
      </c>
      <c r="B144" t="s">
        <v>22</v>
      </c>
      <c r="C144" t="s">
        <v>23</v>
      </c>
      <c r="D144">
        <v>126745</v>
      </c>
      <c r="E144">
        <v>39.81</v>
      </c>
      <c r="F144">
        <v>-105.14</v>
      </c>
      <c r="G144">
        <v>2020</v>
      </c>
      <c r="H144">
        <v>20</v>
      </c>
      <c r="I144" t="s">
        <v>16</v>
      </c>
      <c r="J144">
        <v>1497.5726748966999</v>
      </c>
      <c r="K144">
        <v>9834.0828079423409</v>
      </c>
      <c r="L144">
        <v>-5433.8694581106402</v>
      </c>
      <c r="M144">
        <v>241.884943558527</v>
      </c>
      <c r="N144">
        <f t="shared" ref="N144:N175" si="66">J144/J144</f>
        <v>1</v>
      </c>
    </row>
    <row r="145" spans="1:14" x14ac:dyDescent="0.3">
      <c r="A145" t="s">
        <v>21</v>
      </c>
      <c r="B145" t="s">
        <v>22</v>
      </c>
      <c r="C145" t="s">
        <v>23</v>
      </c>
      <c r="D145">
        <v>126745</v>
      </c>
      <c r="E145">
        <v>39.81</v>
      </c>
      <c r="F145">
        <v>-105.14</v>
      </c>
      <c r="G145">
        <v>2020</v>
      </c>
      <c r="H145">
        <v>20</v>
      </c>
      <c r="I145" t="s">
        <v>17</v>
      </c>
      <c r="J145">
        <v>1556.3479560799001</v>
      </c>
      <c r="K145">
        <v>10280.3162026153</v>
      </c>
      <c r="L145">
        <v>-4763.4798000962601</v>
      </c>
      <c r="M145">
        <v>183.10966237533401</v>
      </c>
      <c r="N145">
        <f t="shared" si="66"/>
        <v>1</v>
      </c>
    </row>
    <row r="146" spans="1:14" x14ac:dyDescent="0.3">
      <c r="A146" t="s">
        <v>21</v>
      </c>
      <c r="B146" t="s">
        <v>22</v>
      </c>
      <c r="C146" t="s">
        <v>23</v>
      </c>
      <c r="D146">
        <v>126745</v>
      </c>
      <c r="E146">
        <v>39.81</v>
      </c>
      <c r="F146">
        <v>-105.14</v>
      </c>
      <c r="G146">
        <v>2020</v>
      </c>
      <c r="H146">
        <v>40</v>
      </c>
      <c r="I146" t="s">
        <v>16</v>
      </c>
      <c r="J146">
        <v>1497.87696253892</v>
      </c>
      <c r="K146">
        <v>9866.2224163838</v>
      </c>
      <c r="L146">
        <v>-5477.2735420796898</v>
      </c>
      <c r="M146">
        <v>241.58065591630901</v>
      </c>
      <c r="N146">
        <f t="shared" ref="N146:N147" si="67">J146/J144</f>
        <v>1.0002031872291213</v>
      </c>
    </row>
    <row r="147" spans="1:14" x14ac:dyDescent="0.3">
      <c r="A147" t="s">
        <v>21</v>
      </c>
      <c r="B147" t="s">
        <v>22</v>
      </c>
      <c r="C147" t="s">
        <v>23</v>
      </c>
      <c r="D147">
        <v>126745</v>
      </c>
      <c r="E147">
        <v>39.81</v>
      </c>
      <c r="F147">
        <v>-105.14</v>
      </c>
      <c r="G147">
        <v>2020</v>
      </c>
      <c r="H147">
        <v>40</v>
      </c>
      <c r="I147" t="s">
        <v>17</v>
      </c>
      <c r="J147">
        <v>1556.67829072789</v>
      </c>
      <c r="K147">
        <v>10308.3342798303</v>
      </c>
      <c r="L147">
        <v>-4793.7396144637296</v>
      </c>
      <c r="M147">
        <v>182.779327727344</v>
      </c>
      <c r="N147">
        <f t="shared" si="67"/>
        <v>1.0002122498678394</v>
      </c>
    </row>
    <row r="148" spans="1:14" x14ac:dyDescent="0.3">
      <c r="A148" t="s">
        <v>21</v>
      </c>
      <c r="B148" t="s">
        <v>22</v>
      </c>
      <c r="C148" t="s">
        <v>23</v>
      </c>
      <c r="D148">
        <v>126745</v>
      </c>
      <c r="E148">
        <v>39.81</v>
      </c>
      <c r="F148">
        <v>-105.14</v>
      </c>
      <c r="G148">
        <v>2020</v>
      </c>
      <c r="H148">
        <v>60</v>
      </c>
      <c r="I148" t="s">
        <v>16</v>
      </c>
      <c r="J148">
        <v>1489.10915680537</v>
      </c>
      <c r="K148">
        <v>9893.4879984397594</v>
      </c>
      <c r="L148">
        <v>-5627.9612883587497</v>
      </c>
      <c r="M148">
        <v>250.348461649857</v>
      </c>
      <c r="N148">
        <f t="shared" ref="N148:N149" si="68">J148/J144</f>
        <v>0.99434850926889828</v>
      </c>
    </row>
    <row r="149" spans="1:14" x14ac:dyDescent="0.3">
      <c r="A149" t="s">
        <v>21</v>
      </c>
      <c r="B149" t="s">
        <v>22</v>
      </c>
      <c r="C149" t="s">
        <v>23</v>
      </c>
      <c r="D149">
        <v>126745</v>
      </c>
      <c r="E149">
        <v>39.81</v>
      </c>
      <c r="F149">
        <v>-105.14</v>
      </c>
      <c r="G149">
        <v>2020</v>
      </c>
      <c r="H149">
        <v>60</v>
      </c>
      <c r="I149" t="s">
        <v>17</v>
      </c>
      <c r="J149">
        <v>1550.1136696041101</v>
      </c>
      <c r="K149">
        <v>10335.6966964808</v>
      </c>
      <c r="L149">
        <v>-4919.2669681957104</v>
      </c>
      <c r="M149">
        <v>189.34394885112499</v>
      </c>
      <c r="N149">
        <f t="shared" si="68"/>
        <v>0.99599428492103215</v>
      </c>
    </row>
    <row r="150" spans="1:14" x14ac:dyDescent="0.3">
      <c r="A150" t="s">
        <v>21</v>
      </c>
      <c r="B150" t="s">
        <v>22</v>
      </c>
      <c r="C150" t="s">
        <v>23</v>
      </c>
      <c r="D150">
        <v>126745</v>
      </c>
      <c r="E150">
        <v>39.81</v>
      </c>
      <c r="F150">
        <v>-105.14</v>
      </c>
      <c r="G150">
        <v>2020</v>
      </c>
      <c r="H150">
        <v>80</v>
      </c>
      <c r="I150" t="s">
        <v>16</v>
      </c>
      <c r="J150">
        <v>1462.9687263032899</v>
      </c>
      <c r="K150">
        <v>9935.3563191044996</v>
      </c>
      <c r="L150">
        <v>-7131.0796115176199</v>
      </c>
      <c r="M150">
        <v>276.48889215194203</v>
      </c>
      <c r="N150">
        <f t="shared" ref="N150:N151" si="69">J150/J144</f>
        <v>0.97689330930413987</v>
      </c>
    </row>
    <row r="151" spans="1:14" x14ac:dyDescent="0.3">
      <c r="A151" t="s">
        <v>21</v>
      </c>
      <c r="B151" t="s">
        <v>22</v>
      </c>
      <c r="C151" t="s">
        <v>23</v>
      </c>
      <c r="D151">
        <v>126745</v>
      </c>
      <c r="E151">
        <v>39.81</v>
      </c>
      <c r="F151">
        <v>-105.14</v>
      </c>
      <c r="G151">
        <v>2020</v>
      </c>
      <c r="H151">
        <v>80</v>
      </c>
      <c r="I151" t="s">
        <v>17</v>
      </c>
      <c r="J151">
        <v>1520.6767835231799</v>
      </c>
      <c r="K151">
        <v>10375.7197234663</v>
      </c>
      <c r="L151">
        <v>-6468.8723403669901</v>
      </c>
      <c r="M151">
        <v>218.78083493204699</v>
      </c>
      <c r="N151">
        <f t="shared" si="69"/>
        <v>0.97708020727796108</v>
      </c>
    </row>
    <row r="152" spans="1:14" x14ac:dyDescent="0.3">
      <c r="A152" t="s">
        <v>21</v>
      </c>
      <c r="B152" t="s">
        <v>22</v>
      </c>
      <c r="C152" t="s">
        <v>23</v>
      </c>
      <c r="D152">
        <v>126745</v>
      </c>
      <c r="E152">
        <v>39.81</v>
      </c>
      <c r="F152">
        <v>-105.14</v>
      </c>
      <c r="G152">
        <v>2021</v>
      </c>
      <c r="H152">
        <v>0</v>
      </c>
      <c r="I152" t="s">
        <v>16</v>
      </c>
      <c r="J152">
        <v>1488.79610731601</v>
      </c>
      <c r="K152">
        <v>9753.5349849758495</v>
      </c>
      <c r="L152">
        <v>-5541.08315512422</v>
      </c>
      <c r="M152">
        <v>248.410576744667</v>
      </c>
      <c r="N152">
        <f t="shared" ref="N152:N153" si="70">J152/J154</f>
        <v>0.99382933203123691</v>
      </c>
    </row>
    <row r="153" spans="1:14" x14ac:dyDescent="0.3">
      <c r="A153" t="s">
        <v>21</v>
      </c>
      <c r="B153" t="s">
        <v>22</v>
      </c>
      <c r="C153" t="s">
        <v>23</v>
      </c>
      <c r="D153">
        <v>126745</v>
      </c>
      <c r="E153">
        <v>39.81</v>
      </c>
      <c r="F153">
        <v>-105.14</v>
      </c>
      <c r="G153">
        <v>2021</v>
      </c>
      <c r="H153">
        <v>0</v>
      </c>
      <c r="I153" t="s">
        <v>17</v>
      </c>
      <c r="J153">
        <v>1540.37317452556</v>
      </c>
      <c r="K153">
        <v>10142.455280578801</v>
      </c>
      <c r="L153">
        <v>-4953.6282408199904</v>
      </c>
      <c r="M153">
        <v>196.83350953511101</v>
      </c>
      <c r="N153">
        <f t="shared" si="70"/>
        <v>0.9910372264297107</v>
      </c>
    </row>
    <row r="154" spans="1:14" x14ac:dyDescent="0.3">
      <c r="A154" t="s">
        <v>21</v>
      </c>
      <c r="B154" t="s">
        <v>22</v>
      </c>
      <c r="C154" t="s">
        <v>23</v>
      </c>
      <c r="D154">
        <v>126745</v>
      </c>
      <c r="E154">
        <v>39.81</v>
      </c>
      <c r="F154">
        <v>-105.14</v>
      </c>
      <c r="G154">
        <v>2021</v>
      </c>
      <c r="H154">
        <v>20</v>
      </c>
      <c r="I154" t="s">
        <v>16</v>
      </c>
      <c r="J154">
        <v>1498.0400148515801</v>
      </c>
      <c r="K154">
        <v>9838.3331989660201</v>
      </c>
      <c r="L154">
        <v>-5400.8471520799503</v>
      </c>
      <c r="M154">
        <v>239.16666920909699</v>
      </c>
      <c r="N154">
        <f t="shared" ref="N154:N185" si="71">J154/J154</f>
        <v>1</v>
      </c>
    </row>
    <row r="155" spans="1:14" x14ac:dyDescent="0.3">
      <c r="A155" t="s">
        <v>21</v>
      </c>
      <c r="B155" t="s">
        <v>22</v>
      </c>
      <c r="C155" t="s">
        <v>23</v>
      </c>
      <c r="D155">
        <v>126745</v>
      </c>
      <c r="E155">
        <v>39.81</v>
      </c>
      <c r="F155">
        <v>-105.14</v>
      </c>
      <c r="G155">
        <v>2021</v>
      </c>
      <c r="H155">
        <v>20</v>
      </c>
      <c r="I155" t="s">
        <v>17</v>
      </c>
      <c r="J155">
        <v>1554.30404978315</v>
      </c>
      <c r="K155">
        <v>10227.6134818213</v>
      </c>
      <c r="L155">
        <v>-4779.2462246772602</v>
      </c>
      <c r="M155">
        <v>182.902634277526</v>
      </c>
      <c r="N155">
        <f t="shared" si="71"/>
        <v>1</v>
      </c>
    </row>
    <row r="156" spans="1:14" x14ac:dyDescent="0.3">
      <c r="A156" t="s">
        <v>21</v>
      </c>
      <c r="B156" t="s">
        <v>22</v>
      </c>
      <c r="C156" t="s">
        <v>23</v>
      </c>
      <c r="D156">
        <v>126745</v>
      </c>
      <c r="E156">
        <v>39.81</v>
      </c>
      <c r="F156">
        <v>-105.14</v>
      </c>
      <c r="G156">
        <v>2021</v>
      </c>
      <c r="H156">
        <v>40</v>
      </c>
      <c r="I156" t="s">
        <v>16</v>
      </c>
      <c r="J156">
        <v>1499.7042529126099</v>
      </c>
      <c r="K156">
        <v>9867.2109588368094</v>
      </c>
      <c r="L156">
        <v>-5443.9289577591999</v>
      </c>
      <c r="M156">
        <v>237.50243114806099</v>
      </c>
      <c r="N156">
        <f t="shared" ref="N156:N157" si="72">J156/J154</f>
        <v>1.0011109436627397</v>
      </c>
    </row>
    <row r="157" spans="1:14" x14ac:dyDescent="0.3">
      <c r="A157" t="s">
        <v>21</v>
      </c>
      <c r="B157" t="s">
        <v>22</v>
      </c>
      <c r="C157" t="s">
        <v>23</v>
      </c>
      <c r="D157">
        <v>126745</v>
      </c>
      <c r="E157">
        <v>39.81</v>
      </c>
      <c r="F157">
        <v>-105.14</v>
      </c>
      <c r="G157">
        <v>2021</v>
      </c>
      <c r="H157">
        <v>40</v>
      </c>
      <c r="I157" t="s">
        <v>17</v>
      </c>
      <c r="J157">
        <v>1557.75428691202</v>
      </c>
      <c r="K157">
        <v>10258.6289660456</v>
      </c>
      <c r="L157">
        <v>-4774.9410739376799</v>
      </c>
      <c r="M157">
        <v>179.45239714865599</v>
      </c>
      <c r="N157">
        <f t="shared" si="72"/>
        <v>1.0022197954958372</v>
      </c>
    </row>
    <row r="158" spans="1:14" x14ac:dyDescent="0.3">
      <c r="A158" t="s">
        <v>21</v>
      </c>
      <c r="B158" t="s">
        <v>22</v>
      </c>
      <c r="C158" t="s">
        <v>23</v>
      </c>
      <c r="D158">
        <v>126745</v>
      </c>
      <c r="E158">
        <v>39.81</v>
      </c>
      <c r="F158">
        <v>-105.14</v>
      </c>
      <c r="G158">
        <v>2021</v>
      </c>
      <c r="H158">
        <v>60</v>
      </c>
      <c r="I158" t="s">
        <v>16</v>
      </c>
      <c r="J158">
        <v>1485.3916902010899</v>
      </c>
      <c r="K158">
        <v>9893.4327156106392</v>
      </c>
      <c r="L158">
        <v>-5630.7529931614799</v>
      </c>
      <c r="M158">
        <v>251.81499385958199</v>
      </c>
      <c r="N158">
        <f t="shared" ref="N158:N159" si="73">J158/J154</f>
        <v>0.99155675113809072</v>
      </c>
    </row>
    <row r="159" spans="1:14" x14ac:dyDescent="0.3">
      <c r="A159" t="s">
        <v>21</v>
      </c>
      <c r="B159" t="s">
        <v>22</v>
      </c>
      <c r="C159" t="s">
        <v>23</v>
      </c>
      <c r="D159">
        <v>126745</v>
      </c>
      <c r="E159">
        <v>39.81</v>
      </c>
      <c r="F159">
        <v>-105.14</v>
      </c>
      <c r="G159">
        <v>2021</v>
      </c>
      <c r="H159">
        <v>60</v>
      </c>
      <c r="I159" t="s">
        <v>17</v>
      </c>
      <c r="J159">
        <v>1551.2693565237701</v>
      </c>
      <c r="K159">
        <v>10285.8990643615</v>
      </c>
      <c r="L159">
        <v>-4942.1760511395096</v>
      </c>
      <c r="M159">
        <v>185.93732753690199</v>
      </c>
      <c r="N159">
        <f t="shared" si="73"/>
        <v>0.99804755494280328</v>
      </c>
    </row>
    <row r="160" spans="1:14" x14ac:dyDescent="0.3">
      <c r="A160" t="s">
        <v>21</v>
      </c>
      <c r="B160" t="s">
        <v>22</v>
      </c>
      <c r="C160" t="s">
        <v>23</v>
      </c>
      <c r="D160">
        <v>126745</v>
      </c>
      <c r="E160">
        <v>39.81</v>
      </c>
      <c r="F160">
        <v>-105.14</v>
      </c>
      <c r="G160">
        <v>2021</v>
      </c>
      <c r="H160">
        <v>80</v>
      </c>
      <c r="I160" t="s">
        <v>16</v>
      </c>
      <c r="J160">
        <v>1460.4766524895199</v>
      </c>
      <c r="K160">
        <v>9934.7447530058798</v>
      </c>
      <c r="L160">
        <v>-7148.0709754253803</v>
      </c>
      <c r="M160">
        <v>276.73003157115397</v>
      </c>
      <c r="N160">
        <f t="shared" ref="N160:N161" si="74">J160/J154</f>
        <v>0.9749249939990543</v>
      </c>
    </row>
    <row r="161" spans="1:14" x14ac:dyDescent="0.3">
      <c r="A161" t="s">
        <v>21</v>
      </c>
      <c r="B161" t="s">
        <v>22</v>
      </c>
      <c r="C161" t="s">
        <v>23</v>
      </c>
      <c r="D161">
        <v>126745</v>
      </c>
      <c r="E161">
        <v>39.81</v>
      </c>
      <c r="F161">
        <v>-105.14</v>
      </c>
      <c r="G161">
        <v>2021</v>
      </c>
      <c r="H161">
        <v>80</v>
      </c>
      <c r="I161" t="s">
        <v>17</v>
      </c>
      <c r="J161">
        <v>1523.62609261587</v>
      </c>
      <c r="K161">
        <v>10328.438438409599</v>
      </c>
      <c r="L161">
        <v>-6431.6617564321195</v>
      </c>
      <c r="M161">
        <v>213.58059144480899</v>
      </c>
      <c r="N161">
        <f t="shared" si="74"/>
        <v>0.98026257657145</v>
      </c>
    </row>
    <row r="162" spans="1:14" x14ac:dyDescent="0.3">
      <c r="A162" t="s">
        <v>21</v>
      </c>
      <c r="B162" t="s">
        <v>22</v>
      </c>
      <c r="C162" t="s">
        <v>23</v>
      </c>
      <c r="D162">
        <v>126745</v>
      </c>
      <c r="E162">
        <v>39.81</v>
      </c>
      <c r="F162">
        <v>-105.14</v>
      </c>
      <c r="G162">
        <v>2022</v>
      </c>
      <c r="H162">
        <v>0</v>
      </c>
      <c r="I162" t="s">
        <v>16</v>
      </c>
      <c r="J162">
        <v>1486.18603399161</v>
      </c>
      <c r="K162">
        <v>9765.3775178221094</v>
      </c>
      <c r="L162">
        <v>-5583.48856548408</v>
      </c>
      <c r="M162">
        <v>255.39252267001299</v>
      </c>
      <c r="N162">
        <f t="shared" ref="N162:N163" si="75">J162/J164</f>
        <v>0.99236380079296427</v>
      </c>
    </row>
    <row r="163" spans="1:14" x14ac:dyDescent="0.3">
      <c r="A163" t="s">
        <v>21</v>
      </c>
      <c r="B163" t="s">
        <v>22</v>
      </c>
      <c r="C163" t="s">
        <v>23</v>
      </c>
      <c r="D163">
        <v>126745</v>
      </c>
      <c r="E163">
        <v>39.81</v>
      </c>
      <c r="F163">
        <v>-105.14</v>
      </c>
      <c r="G163">
        <v>2022</v>
      </c>
      <c r="H163">
        <v>0</v>
      </c>
      <c r="I163" t="s">
        <v>17</v>
      </c>
      <c r="J163">
        <v>1540.0673850595399</v>
      </c>
      <c r="K163">
        <v>10192.895362601501</v>
      </c>
      <c r="L163">
        <v>-4906.0467774574299</v>
      </c>
      <c r="M163">
        <v>201.51117160208</v>
      </c>
      <c r="N163">
        <f t="shared" si="75"/>
        <v>0.99053381070758306</v>
      </c>
    </row>
    <row r="164" spans="1:14" x14ac:dyDescent="0.3">
      <c r="A164" t="s">
        <v>21</v>
      </c>
      <c r="B164" t="s">
        <v>22</v>
      </c>
      <c r="C164" t="s">
        <v>23</v>
      </c>
      <c r="D164">
        <v>126745</v>
      </c>
      <c r="E164">
        <v>39.81</v>
      </c>
      <c r="F164">
        <v>-105.14</v>
      </c>
      <c r="G164">
        <v>2022</v>
      </c>
      <c r="H164">
        <v>20</v>
      </c>
      <c r="I164" t="s">
        <v>16</v>
      </c>
      <c r="J164">
        <v>1497.6221752587601</v>
      </c>
      <c r="K164">
        <v>9834.8513484741397</v>
      </c>
      <c r="L164">
        <v>-5441.7818200153497</v>
      </c>
      <c r="M164">
        <v>243.956381402858</v>
      </c>
      <c r="N164">
        <f t="shared" ref="N164:N195" si="76">J164/J164</f>
        <v>1</v>
      </c>
    </row>
    <row r="165" spans="1:14" x14ac:dyDescent="0.3">
      <c r="A165" t="s">
        <v>21</v>
      </c>
      <c r="B165" t="s">
        <v>22</v>
      </c>
      <c r="C165" t="s">
        <v>23</v>
      </c>
      <c r="D165">
        <v>126745</v>
      </c>
      <c r="E165">
        <v>39.81</v>
      </c>
      <c r="F165">
        <v>-105.14</v>
      </c>
      <c r="G165">
        <v>2022</v>
      </c>
      <c r="H165">
        <v>20</v>
      </c>
      <c r="I165" t="s">
        <v>17</v>
      </c>
      <c r="J165">
        <v>1554.7852767987799</v>
      </c>
      <c r="K165">
        <v>10280.6594064973</v>
      </c>
      <c r="L165">
        <v>-4754.3607965287401</v>
      </c>
      <c r="M165">
        <v>186.79327986284</v>
      </c>
      <c r="N165">
        <f t="shared" si="76"/>
        <v>1</v>
      </c>
    </row>
    <row r="166" spans="1:14" x14ac:dyDescent="0.3">
      <c r="A166" t="s">
        <v>21</v>
      </c>
      <c r="B166" t="s">
        <v>22</v>
      </c>
      <c r="C166" t="s">
        <v>23</v>
      </c>
      <c r="D166">
        <v>126745</v>
      </c>
      <c r="E166">
        <v>39.81</v>
      </c>
      <c r="F166">
        <v>-105.14</v>
      </c>
      <c r="G166">
        <v>2022</v>
      </c>
      <c r="H166">
        <v>40</v>
      </c>
      <c r="I166" t="s">
        <v>16</v>
      </c>
      <c r="J166">
        <v>1496.4887291545799</v>
      </c>
      <c r="K166">
        <v>9866.1633581781098</v>
      </c>
      <c r="L166">
        <v>-5477.9669453474198</v>
      </c>
      <c r="M166">
        <v>245.08982750704399</v>
      </c>
      <c r="N166">
        <f t="shared" ref="N166:N167" si="77">J166/J164</f>
        <v>0.99924316952372561</v>
      </c>
    </row>
    <row r="167" spans="1:14" x14ac:dyDescent="0.3">
      <c r="A167" t="s">
        <v>21</v>
      </c>
      <c r="B167" t="s">
        <v>22</v>
      </c>
      <c r="C167" t="s">
        <v>23</v>
      </c>
      <c r="D167">
        <v>126745</v>
      </c>
      <c r="E167">
        <v>39.81</v>
      </c>
      <c r="F167">
        <v>-105.14</v>
      </c>
      <c r="G167">
        <v>2022</v>
      </c>
      <c r="H167">
        <v>40</v>
      </c>
      <c r="I167" t="s">
        <v>17</v>
      </c>
      <c r="J167">
        <v>1553.3513820401099</v>
      </c>
      <c r="K167">
        <v>10312.702754891099</v>
      </c>
      <c r="L167">
        <v>-4782.3527003706504</v>
      </c>
      <c r="M167">
        <v>188.22717462150999</v>
      </c>
      <c r="N167">
        <f t="shared" si="77"/>
        <v>0.99907775383516473</v>
      </c>
    </row>
    <row r="168" spans="1:14" x14ac:dyDescent="0.3">
      <c r="A168" t="s">
        <v>21</v>
      </c>
      <c r="B168" t="s">
        <v>22</v>
      </c>
      <c r="C168" t="s">
        <v>23</v>
      </c>
      <c r="D168">
        <v>126745</v>
      </c>
      <c r="E168">
        <v>39.81</v>
      </c>
      <c r="F168">
        <v>-105.14</v>
      </c>
      <c r="G168">
        <v>2022</v>
      </c>
      <c r="H168">
        <v>60</v>
      </c>
      <c r="I168" t="s">
        <v>16</v>
      </c>
      <c r="J168">
        <v>1488.2130878112</v>
      </c>
      <c r="K168">
        <v>9894.6848048046195</v>
      </c>
      <c r="L168">
        <v>-5626.39961671727</v>
      </c>
      <c r="M168">
        <v>253.365468850425</v>
      </c>
      <c r="N168">
        <f t="shared" ref="N168:N169" si="78">J168/J164</f>
        <v>0.99371731562005328</v>
      </c>
    </row>
    <row r="169" spans="1:14" x14ac:dyDescent="0.3">
      <c r="A169" t="s">
        <v>21</v>
      </c>
      <c r="B169" t="s">
        <v>22</v>
      </c>
      <c r="C169" t="s">
        <v>23</v>
      </c>
      <c r="D169">
        <v>126745</v>
      </c>
      <c r="E169">
        <v>39.81</v>
      </c>
      <c r="F169">
        <v>-105.14</v>
      </c>
      <c r="G169">
        <v>2022</v>
      </c>
      <c r="H169">
        <v>60</v>
      </c>
      <c r="I169" t="s">
        <v>17</v>
      </c>
      <c r="J169">
        <v>1547.4611164221001</v>
      </c>
      <c r="K169">
        <v>10341.989598747299</v>
      </c>
      <c r="L169">
        <v>-4936.0236356514697</v>
      </c>
      <c r="M169">
        <v>194.11744023952201</v>
      </c>
      <c r="N169">
        <f t="shared" si="78"/>
        <v>0.99528927853513005</v>
      </c>
    </row>
    <row r="170" spans="1:14" x14ac:dyDescent="0.3">
      <c r="A170" t="s">
        <v>21</v>
      </c>
      <c r="B170" t="s">
        <v>22</v>
      </c>
      <c r="C170" t="s">
        <v>23</v>
      </c>
      <c r="D170">
        <v>126745</v>
      </c>
      <c r="E170">
        <v>39.81</v>
      </c>
      <c r="F170">
        <v>-105.14</v>
      </c>
      <c r="G170">
        <v>2022</v>
      </c>
      <c r="H170">
        <v>80</v>
      </c>
      <c r="I170" t="s">
        <v>16</v>
      </c>
      <c r="J170">
        <v>1458.66546605744</v>
      </c>
      <c r="K170">
        <v>9936.5915551283597</v>
      </c>
      <c r="L170">
        <v>-7087.8863533417198</v>
      </c>
      <c r="M170">
        <v>282.91309060417802</v>
      </c>
      <c r="N170">
        <f t="shared" ref="N170:N171" si="79">J170/J164</f>
        <v>0.973987625287006</v>
      </c>
    </row>
    <row r="171" spans="1:14" x14ac:dyDescent="0.3">
      <c r="A171" t="s">
        <v>21</v>
      </c>
      <c r="B171" t="s">
        <v>22</v>
      </c>
      <c r="C171" t="s">
        <v>23</v>
      </c>
      <c r="D171">
        <v>126745</v>
      </c>
      <c r="E171">
        <v>39.81</v>
      </c>
      <c r="F171">
        <v>-105.14</v>
      </c>
      <c r="G171">
        <v>2022</v>
      </c>
      <c r="H171">
        <v>80</v>
      </c>
      <c r="I171" t="s">
        <v>17</v>
      </c>
      <c r="J171">
        <v>1523.7326518229199</v>
      </c>
      <c r="K171">
        <v>10383.4813669952</v>
      </c>
      <c r="L171">
        <v>-6428.1245625966503</v>
      </c>
      <c r="M171">
        <v>217.845904838705</v>
      </c>
      <c r="N171">
        <f t="shared" si="79"/>
        <v>0.9800277083663953</v>
      </c>
    </row>
    <row r="172" spans="1:14" x14ac:dyDescent="0.3">
      <c r="A172" t="s">
        <v>21</v>
      </c>
      <c r="B172" t="s">
        <v>22</v>
      </c>
      <c r="C172" t="s">
        <v>23</v>
      </c>
      <c r="D172">
        <v>126745</v>
      </c>
      <c r="E172">
        <v>39.81</v>
      </c>
      <c r="F172">
        <v>-105.14</v>
      </c>
      <c r="G172">
        <v>2023</v>
      </c>
      <c r="H172">
        <v>0</v>
      </c>
      <c r="I172" t="s">
        <v>16</v>
      </c>
      <c r="J172">
        <v>1483.75021722359</v>
      </c>
      <c r="K172">
        <v>9768.2411583771209</v>
      </c>
      <c r="L172">
        <v>-5601.2121356195903</v>
      </c>
      <c r="M172">
        <v>213.43107900243501</v>
      </c>
      <c r="N172">
        <f t="shared" ref="N172:N173" si="80">J172/J174</f>
        <v>0.99250587847090599</v>
      </c>
    </row>
    <row r="173" spans="1:14" x14ac:dyDescent="0.3">
      <c r="A173" t="s">
        <v>21</v>
      </c>
      <c r="B173" t="s">
        <v>22</v>
      </c>
      <c r="C173" t="s">
        <v>23</v>
      </c>
      <c r="D173">
        <v>126745</v>
      </c>
      <c r="E173">
        <v>39.81</v>
      </c>
      <c r="F173">
        <v>-105.14</v>
      </c>
      <c r="G173">
        <v>2023</v>
      </c>
      <c r="H173">
        <v>0</v>
      </c>
      <c r="I173" t="s">
        <v>17</v>
      </c>
      <c r="J173">
        <v>1519.6710310011399</v>
      </c>
      <c r="K173">
        <v>10019.054398504701</v>
      </c>
      <c r="L173">
        <v>-5233.3788985461397</v>
      </c>
      <c r="M173">
        <v>177.51026522488999</v>
      </c>
      <c r="N173">
        <f t="shared" si="80"/>
        <v>0.99222563924533247</v>
      </c>
    </row>
    <row r="174" spans="1:14" x14ac:dyDescent="0.3">
      <c r="A174" t="s">
        <v>21</v>
      </c>
      <c r="B174" t="s">
        <v>22</v>
      </c>
      <c r="C174" t="s">
        <v>23</v>
      </c>
      <c r="D174">
        <v>126745</v>
      </c>
      <c r="E174">
        <v>39.81</v>
      </c>
      <c r="F174">
        <v>-105.14</v>
      </c>
      <c r="G174">
        <v>2023</v>
      </c>
      <c r="H174">
        <v>20</v>
      </c>
      <c r="I174" t="s">
        <v>16</v>
      </c>
      <c r="J174">
        <v>1494.9535810402599</v>
      </c>
      <c r="K174">
        <v>9841.3645041373802</v>
      </c>
      <c r="L174">
        <v>-5464.9834701469599</v>
      </c>
      <c r="M174">
        <v>202.22771518576101</v>
      </c>
      <c r="N174">
        <f t="shared" ref="N174:N205" si="81">J174/J174</f>
        <v>1</v>
      </c>
    </row>
    <row r="175" spans="1:14" x14ac:dyDescent="0.3">
      <c r="A175" t="s">
        <v>21</v>
      </c>
      <c r="B175" t="s">
        <v>22</v>
      </c>
      <c r="C175" t="s">
        <v>23</v>
      </c>
      <c r="D175">
        <v>126745</v>
      </c>
      <c r="E175">
        <v>39.81</v>
      </c>
      <c r="F175">
        <v>-105.14</v>
      </c>
      <c r="G175">
        <v>2023</v>
      </c>
      <c r="H175">
        <v>20</v>
      </c>
      <c r="I175" t="s">
        <v>17</v>
      </c>
      <c r="J175">
        <v>1531.5780714525499</v>
      </c>
      <c r="K175">
        <v>10084.9439290026</v>
      </c>
      <c r="L175">
        <v>-5068.4343793154603</v>
      </c>
      <c r="M175">
        <v>165.603224773471</v>
      </c>
      <c r="N175">
        <f t="shared" si="81"/>
        <v>1</v>
      </c>
    </row>
    <row r="176" spans="1:14" x14ac:dyDescent="0.3">
      <c r="A176" t="s">
        <v>21</v>
      </c>
      <c r="B176" t="s">
        <v>22</v>
      </c>
      <c r="C176" t="s">
        <v>23</v>
      </c>
      <c r="D176">
        <v>126745</v>
      </c>
      <c r="E176">
        <v>39.81</v>
      </c>
      <c r="F176">
        <v>-105.14</v>
      </c>
      <c r="G176">
        <v>2023</v>
      </c>
      <c r="H176">
        <v>40</v>
      </c>
      <c r="I176" t="s">
        <v>16</v>
      </c>
      <c r="J176">
        <v>1497.53027160337</v>
      </c>
      <c r="K176">
        <v>9871.3222074668502</v>
      </c>
      <c r="L176">
        <v>-5483.2360273238901</v>
      </c>
      <c r="M176">
        <v>199.65102462265301</v>
      </c>
      <c r="N176">
        <f t="shared" ref="N176:N177" si="82">J176/J174</f>
        <v>1.0017235923548322</v>
      </c>
    </row>
    <row r="177" spans="1:15" x14ac:dyDescent="0.3">
      <c r="A177" t="s">
        <v>21</v>
      </c>
      <c r="B177" t="s">
        <v>22</v>
      </c>
      <c r="C177" t="s">
        <v>23</v>
      </c>
      <c r="D177">
        <v>126745</v>
      </c>
      <c r="E177">
        <v>39.81</v>
      </c>
      <c r="F177">
        <v>-105.14</v>
      </c>
      <c r="G177">
        <v>2023</v>
      </c>
      <c r="H177">
        <v>40</v>
      </c>
      <c r="I177" t="s">
        <v>17</v>
      </c>
      <c r="J177">
        <v>1533.06941569574</v>
      </c>
      <c r="K177">
        <v>10116.664441622501</v>
      </c>
      <c r="L177">
        <v>-5071.9426267062599</v>
      </c>
      <c r="M177">
        <v>164.11188053028701</v>
      </c>
      <c r="N177">
        <f t="shared" si="82"/>
        <v>1.0009737304751143</v>
      </c>
    </row>
    <row r="178" spans="1:15" x14ac:dyDescent="0.3">
      <c r="A178" t="s">
        <v>21</v>
      </c>
      <c r="B178" t="s">
        <v>22</v>
      </c>
      <c r="C178" t="s">
        <v>23</v>
      </c>
      <c r="D178">
        <v>126745</v>
      </c>
      <c r="E178">
        <v>39.81</v>
      </c>
      <c r="F178">
        <v>-105.14</v>
      </c>
      <c r="G178">
        <v>2023</v>
      </c>
      <c r="H178">
        <v>60</v>
      </c>
      <c r="I178" t="s">
        <v>16</v>
      </c>
      <c r="J178">
        <v>1488.96143320846</v>
      </c>
      <c r="K178">
        <v>9896.3781630623707</v>
      </c>
      <c r="L178">
        <v>-5620.3276015566698</v>
      </c>
      <c r="M178">
        <v>208.21986301756701</v>
      </c>
      <c r="N178">
        <f t="shared" ref="N178:N179" si="83">J178/J174</f>
        <v>0.99599174990595341</v>
      </c>
    </row>
    <row r="179" spans="1:15" x14ac:dyDescent="0.3">
      <c r="A179" t="s">
        <v>21</v>
      </c>
      <c r="B179" t="s">
        <v>22</v>
      </c>
      <c r="C179" t="s">
        <v>23</v>
      </c>
      <c r="D179">
        <v>126745</v>
      </c>
      <c r="E179">
        <v>39.81</v>
      </c>
      <c r="F179">
        <v>-105.14</v>
      </c>
      <c r="G179">
        <v>2023</v>
      </c>
      <c r="H179">
        <v>60</v>
      </c>
      <c r="I179" t="s">
        <v>17</v>
      </c>
      <c r="J179">
        <v>1525.0266529994201</v>
      </c>
      <c r="K179">
        <v>10143.409239958401</v>
      </c>
      <c r="L179">
        <v>-5215.3162103985396</v>
      </c>
      <c r="M179">
        <v>172.154643226601</v>
      </c>
      <c r="N179">
        <f t="shared" si="83"/>
        <v>0.9957224391134587</v>
      </c>
    </row>
    <row r="180" spans="1:15" x14ac:dyDescent="0.3">
      <c r="A180" t="s">
        <v>21</v>
      </c>
      <c r="B180" t="s">
        <v>22</v>
      </c>
      <c r="C180" t="s">
        <v>23</v>
      </c>
      <c r="D180">
        <v>126745</v>
      </c>
      <c r="E180">
        <v>39.81</v>
      </c>
      <c r="F180">
        <v>-105.14</v>
      </c>
      <c r="G180">
        <v>2023</v>
      </c>
      <c r="H180">
        <v>80</v>
      </c>
      <c r="I180" t="s">
        <v>16</v>
      </c>
      <c r="J180">
        <v>1463.06543746784</v>
      </c>
      <c r="K180">
        <v>9935.69540982937</v>
      </c>
      <c r="L180">
        <v>-7054.6944798560398</v>
      </c>
      <c r="M180">
        <v>234.11585875818801</v>
      </c>
      <c r="N180">
        <f t="shared" ref="N180:N181" si="84">J180/J174</f>
        <v>0.97866947577714714</v>
      </c>
    </row>
    <row r="181" spans="1:15" x14ac:dyDescent="0.3">
      <c r="A181" t="s">
        <v>21</v>
      </c>
      <c r="B181" t="s">
        <v>22</v>
      </c>
      <c r="C181" t="s">
        <v>23</v>
      </c>
      <c r="D181">
        <v>126745</v>
      </c>
      <c r="E181">
        <v>39.81</v>
      </c>
      <c r="F181">
        <v>-105.14</v>
      </c>
      <c r="G181">
        <v>2023</v>
      </c>
      <c r="H181">
        <v>80</v>
      </c>
      <c r="I181" t="s">
        <v>17</v>
      </c>
      <c r="J181">
        <v>1501.88009835921</v>
      </c>
      <c r="K181">
        <v>10182.184081322001</v>
      </c>
      <c r="L181">
        <v>-6693.7531696369397</v>
      </c>
      <c r="M181">
        <v>195.30119786681701</v>
      </c>
      <c r="N181">
        <f t="shared" si="84"/>
        <v>0.98060955974306008</v>
      </c>
    </row>
    <row r="182" spans="1:15" x14ac:dyDescent="0.3">
      <c r="A182" t="s">
        <v>24</v>
      </c>
      <c r="B182" t="s">
        <v>25</v>
      </c>
      <c r="C182" t="s">
        <v>26</v>
      </c>
      <c r="D182">
        <v>448494</v>
      </c>
      <c r="E182">
        <v>39.99</v>
      </c>
      <c r="F182">
        <v>-82.88</v>
      </c>
      <c r="G182">
        <v>2018</v>
      </c>
      <c r="H182">
        <v>0</v>
      </c>
      <c r="I182" t="s">
        <v>16</v>
      </c>
      <c r="J182">
        <v>1289.14117905699</v>
      </c>
      <c r="K182">
        <v>8021.6408434259201</v>
      </c>
      <c r="L182">
        <v>-7874.5294731172398</v>
      </c>
      <c r="M182">
        <v>628.62410829264104</v>
      </c>
      <c r="N182">
        <f t="shared" ref="N182:N183" si="85">J182/J184</f>
        <v>0.99776652537599286</v>
      </c>
    </row>
    <row r="183" spans="1:15" x14ac:dyDescent="0.3">
      <c r="A183" t="s">
        <v>24</v>
      </c>
      <c r="B183" t="s">
        <v>25</v>
      </c>
      <c r="C183" t="s">
        <v>26</v>
      </c>
      <c r="D183">
        <v>448494</v>
      </c>
      <c r="E183">
        <v>39.99</v>
      </c>
      <c r="F183">
        <v>-82.88</v>
      </c>
      <c r="G183">
        <v>2018</v>
      </c>
      <c r="H183">
        <v>0</v>
      </c>
      <c r="I183" t="s">
        <v>17</v>
      </c>
      <c r="J183">
        <v>1239.8165327189899</v>
      </c>
      <c r="K183">
        <v>7707.5456491843297</v>
      </c>
      <c r="L183">
        <v>-8454.8722024657</v>
      </c>
      <c r="M183">
        <v>677.94875463063295</v>
      </c>
      <c r="N183">
        <f t="shared" si="85"/>
        <v>0.99960685410106231</v>
      </c>
      <c r="O183">
        <f>AVERAGE(N183,N193,N203,N213,N223,N233)</f>
        <v>0.99870166784416614</v>
      </c>
    </row>
    <row r="184" spans="1:15" x14ac:dyDescent="0.3">
      <c r="A184" t="s">
        <v>24</v>
      </c>
      <c r="B184" t="s">
        <v>25</v>
      </c>
      <c r="C184" t="s">
        <v>26</v>
      </c>
      <c r="D184">
        <v>448494</v>
      </c>
      <c r="E184">
        <v>39.99</v>
      </c>
      <c r="F184">
        <v>-82.88</v>
      </c>
      <c r="G184">
        <v>2018</v>
      </c>
      <c r="H184">
        <v>20</v>
      </c>
      <c r="I184" t="s">
        <v>16</v>
      </c>
      <c r="J184">
        <v>1292.0268883256001</v>
      </c>
      <c r="K184">
        <v>8040.0292063693996</v>
      </c>
      <c r="L184">
        <v>-7845.7148516195903</v>
      </c>
      <c r="M184">
        <v>625.73839902403097</v>
      </c>
      <c r="N184">
        <f t="shared" ref="N184:N215" si="86">J184/J184</f>
        <v>1</v>
      </c>
    </row>
    <row r="185" spans="1:15" x14ac:dyDescent="0.3">
      <c r="A185" t="s">
        <v>24</v>
      </c>
      <c r="B185" t="s">
        <v>25</v>
      </c>
      <c r="C185" t="s">
        <v>26</v>
      </c>
      <c r="D185">
        <v>448494</v>
      </c>
      <c r="E185">
        <v>39.99</v>
      </c>
      <c r="F185">
        <v>-82.88</v>
      </c>
      <c r="G185">
        <v>2018</v>
      </c>
      <c r="H185">
        <v>20</v>
      </c>
      <c r="I185" t="s">
        <v>17</v>
      </c>
      <c r="J185">
        <v>1240.30415321026</v>
      </c>
      <c r="K185">
        <v>7712.6371460617602</v>
      </c>
      <c r="L185">
        <v>-8440.2474000011007</v>
      </c>
      <c r="M185">
        <v>677.461134139367</v>
      </c>
      <c r="N185">
        <f t="shared" si="86"/>
        <v>1</v>
      </c>
      <c r="O185">
        <f>AVERAGE(N185,N195,N205,N215,N225,N235)</f>
        <v>1</v>
      </c>
    </row>
    <row r="186" spans="1:15" x14ac:dyDescent="0.3">
      <c r="A186" t="s">
        <v>24</v>
      </c>
      <c r="B186" t="s">
        <v>25</v>
      </c>
      <c r="C186" t="s">
        <v>26</v>
      </c>
      <c r="D186">
        <v>448494</v>
      </c>
      <c r="E186">
        <v>39.99</v>
      </c>
      <c r="F186">
        <v>-82.88</v>
      </c>
      <c r="G186">
        <v>2018</v>
      </c>
      <c r="H186">
        <v>40</v>
      </c>
      <c r="I186" t="s">
        <v>16</v>
      </c>
      <c r="J186">
        <v>1292.2334310413501</v>
      </c>
      <c r="K186">
        <v>8043.05068511228</v>
      </c>
      <c r="L186">
        <v>-7832.8703458243099</v>
      </c>
      <c r="M186">
        <v>625.53185630828</v>
      </c>
      <c r="N186">
        <f t="shared" ref="N186:N187" si="87">J186/J184</f>
        <v>1.0001598594561896</v>
      </c>
    </row>
    <row r="187" spans="1:15" x14ac:dyDescent="0.3">
      <c r="A187" t="s">
        <v>24</v>
      </c>
      <c r="B187" t="s">
        <v>25</v>
      </c>
      <c r="C187" t="s">
        <v>26</v>
      </c>
      <c r="D187">
        <v>448494</v>
      </c>
      <c r="E187">
        <v>39.99</v>
      </c>
      <c r="F187">
        <v>-82.88</v>
      </c>
      <c r="G187">
        <v>2018</v>
      </c>
      <c r="H187">
        <v>40</v>
      </c>
      <c r="I187" t="s">
        <v>17</v>
      </c>
      <c r="J187">
        <v>1240.7407954016101</v>
      </c>
      <c r="K187">
        <v>7714.7992964773402</v>
      </c>
      <c r="L187">
        <v>-8432.0702769482796</v>
      </c>
      <c r="M187">
        <v>677.02449194801102</v>
      </c>
      <c r="N187">
        <f t="shared" si="87"/>
        <v>1.0003520444483072</v>
      </c>
      <c r="O187">
        <f>AVERAGE(N187,N197,N207,N217,N227,N237)</f>
        <v>1.0004076097923393</v>
      </c>
    </row>
    <row r="188" spans="1:15" x14ac:dyDescent="0.3">
      <c r="A188" t="s">
        <v>24</v>
      </c>
      <c r="B188" t="s">
        <v>25</v>
      </c>
      <c r="C188" t="s">
        <v>26</v>
      </c>
      <c r="D188">
        <v>448494</v>
      </c>
      <c r="E188">
        <v>39.99</v>
      </c>
      <c r="F188">
        <v>-82.88</v>
      </c>
      <c r="G188">
        <v>2018</v>
      </c>
      <c r="H188">
        <v>60</v>
      </c>
      <c r="I188" t="s">
        <v>16</v>
      </c>
      <c r="J188">
        <v>1292.9747077064101</v>
      </c>
      <c r="K188">
        <v>8048.52812870445</v>
      </c>
      <c r="L188">
        <v>-7824.9103034435302</v>
      </c>
      <c r="M188">
        <v>624.79057964321601</v>
      </c>
      <c r="N188">
        <f t="shared" ref="N188:N189" si="88">J188/J184</f>
        <v>1.0007335910648409</v>
      </c>
    </row>
    <row r="189" spans="1:15" x14ac:dyDescent="0.3">
      <c r="A189" t="s">
        <v>24</v>
      </c>
      <c r="B189" t="s">
        <v>25</v>
      </c>
      <c r="C189" t="s">
        <v>26</v>
      </c>
      <c r="D189">
        <v>448494</v>
      </c>
      <c r="E189">
        <v>39.99</v>
      </c>
      <c r="F189">
        <v>-82.88</v>
      </c>
      <c r="G189">
        <v>2018</v>
      </c>
      <c r="H189">
        <v>60</v>
      </c>
      <c r="I189" t="s">
        <v>17</v>
      </c>
      <c r="J189">
        <v>1240.2401780304299</v>
      </c>
      <c r="K189">
        <v>7718.4137647458501</v>
      </c>
      <c r="L189">
        <v>-8426.5694351872698</v>
      </c>
      <c r="M189">
        <v>677.52510931919301</v>
      </c>
      <c r="N189">
        <f t="shared" si="88"/>
        <v>0.99994841976489035</v>
      </c>
      <c r="O189">
        <f>AVERAGE(N189,N199,N209,N219,N229,N239)</f>
        <v>1.0007089061014975</v>
      </c>
    </row>
    <row r="190" spans="1:15" x14ac:dyDescent="0.3">
      <c r="A190" t="s">
        <v>24</v>
      </c>
      <c r="B190" t="s">
        <v>25</v>
      </c>
      <c r="C190" t="s">
        <v>26</v>
      </c>
      <c r="D190">
        <v>448494</v>
      </c>
      <c r="E190">
        <v>39.99</v>
      </c>
      <c r="F190">
        <v>-82.88</v>
      </c>
      <c r="G190">
        <v>2018</v>
      </c>
      <c r="H190">
        <v>80</v>
      </c>
      <c r="I190" t="s">
        <v>16</v>
      </c>
      <c r="J190">
        <v>1293.1837283206501</v>
      </c>
      <c r="K190">
        <v>8055.40837701074</v>
      </c>
      <c r="L190">
        <v>-7818.9568312859601</v>
      </c>
      <c r="M190">
        <v>624.58155902897397</v>
      </c>
      <c r="N190">
        <f t="shared" ref="N190:N191" si="89">J190/J184</f>
        <v>1.0008953683592059</v>
      </c>
    </row>
    <row r="191" spans="1:15" x14ac:dyDescent="0.3">
      <c r="A191" t="s">
        <v>24</v>
      </c>
      <c r="B191" t="s">
        <v>25</v>
      </c>
      <c r="C191" t="s">
        <v>26</v>
      </c>
      <c r="D191">
        <v>448494</v>
      </c>
      <c r="E191">
        <v>39.99</v>
      </c>
      <c r="F191">
        <v>-82.88</v>
      </c>
      <c r="G191">
        <v>2018</v>
      </c>
      <c r="H191">
        <v>80</v>
      </c>
      <c r="I191" t="s">
        <v>17</v>
      </c>
      <c r="J191">
        <v>1240.07702998231</v>
      </c>
      <c r="K191">
        <v>7721.9877515360404</v>
      </c>
      <c r="L191">
        <v>-8422.9758157874003</v>
      </c>
      <c r="M191">
        <v>677.68825736731503</v>
      </c>
      <c r="N191">
        <f t="shared" si="89"/>
        <v>0.99981688102280231</v>
      </c>
      <c r="O191">
        <f>AVERAGE(N191,N201,N211,N221,N231,N241)</f>
        <v>1.0008484120854853</v>
      </c>
    </row>
    <row r="192" spans="1:15" x14ac:dyDescent="0.3">
      <c r="A192" t="s">
        <v>24</v>
      </c>
      <c r="B192" t="s">
        <v>25</v>
      </c>
      <c r="C192" t="s">
        <v>26</v>
      </c>
      <c r="D192">
        <v>448494</v>
      </c>
      <c r="E192">
        <v>39.99</v>
      </c>
      <c r="F192">
        <v>-82.88</v>
      </c>
      <c r="G192">
        <v>2019</v>
      </c>
      <c r="H192">
        <v>0</v>
      </c>
      <c r="I192" t="s">
        <v>16</v>
      </c>
      <c r="J192">
        <v>1284.30021435647</v>
      </c>
      <c r="K192">
        <v>8030.2205136330804</v>
      </c>
      <c r="L192">
        <v>-7928.7882698519697</v>
      </c>
      <c r="M192">
        <v>586.72263694352</v>
      </c>
      <c r="N192">
        <f t="shared" ref="N192:N193" si="90">J192/J194</f>
        <v>0.99893659028632675</v>
      </c>
    </row>
    <row r="193" spans="1:14" x14ac:dyDescent="0.3">
      <c r="A193" t="s">
        <v>24</v>
      </c>
      <c r="B193" t="s">
        <v>25</v>
      </c>
      <c r="C193" t="s">
        <v>26</v>
      </c>
      <c r="D193">
        <v>448494</v>
      </c>
      <c r="E193">
        <v>39.99</v>
      </c>
      <c r="F193">
        <v>-82.88</v>
      </c>
      <c r="G193">
        <v>2019</v>
      </c>
      <c r="H193">
        <v>0</v>
      </c>
      <c r="I193" t="s">
        <v>17</v>
      </c>
      <c r="J193">
        <v>1286.50807970085</v>
      </c>
      <c r="K193">
        <v>8002.01841266256</v>
      </c>
      <c r="L193">
        <v>-7916.21367500818</v>
      </c>
      <c r="M193">
        <v>584.51477159914202</v>
      </c>
      <c r="N193">
        <f t="shared" si="90"/>
        <v>0.99908774745722861</v>
      </c>
    </row>
    <row r="194" spans="1:14" x14ac:dyDescent="0.3">
      <c r="A194" t="s">
        <v>24</v>
      </c>
      <c r="B194" t="s">
        <v>25</v>
      </c>
      <c r="C194" t="s">
        <v>26</v>
      </c>
      <c r="D194">
        <v>448494</v>
      </c>
      <c r="E194">
        <v>39.99</v>
      </c>
      <c r="F194">
        <v>-82.88</v>
      </c>
      <c r="G194">
        <v>2019</v>
      </c>
      <c r="H194">
        <v>20</v>
      </c>
      <c r="I194" t="s">
        <v>16</v>
      </c>
      <c r="J194">
        <v>1285.6674055640999</v>
      </c>
      <c r="K194">
        <v>8039.7450327626002</v>
      </c>
      <c r="L194">
        <v>-7900.1178649370504</v>
      </c>
      <c r="M194">
        <v>585.35544573589698</v>
      </c>
      <c r="N194">
        <f t="shared" ref="N194:N241" si="91">J194/J194</f>
        <v>1</v>
      </c>
    </row>
    <row r="195" spans="1:14" x14ac:dyDescent="0.3">
      <c r="A195" t="s">
        <v>24</v>
      </c>
      <c r="B195" t="s">
        <v>25</v>
      </c>
      <c r="C195" t="s">
        <v>26</v>
      </c>
      <c r="D195">
        <v>448494</v>
      </c>
      <c r="E195">
        <v>39.99</v>
      </c>
      <c r="F195">
        <v>-82.88</v>
      </c>
      <c r="G195">
        <v>2019</v>
      </c>
      <c r="H195">
        <v>20</v>
      </c>
      <c r="I195" t="s">
        <v>17</v>
      </c>
      <c r="J195">
        <v>1287.68277158351</v>
      </c>
      <c r="K195">
        <v>8007.65170222284</v>
      </c>
      <c r="L195">
        <v>-7895.3410393530803</v>
      </c>
      <c r="M195">
        <v>583.34007971647895</v>
      </c>
      <c r="N195">
        <f t="shared" si="91"/>
        <v>1</v>
      </c>
    </row>
    <row r="196" spans="1:14" x14ac:dyDescent="0.3">
      <c r="A196" t="s">
        <v>24</v>
      </c>
      <c r="B196" t="s">
        <v>25</v>
      </c>
      <c r="C196" t="s">
        <v>26</v>
      </c>
      <c r="D196">
        <v>448494</v>
      </c>
      <c r="E196">
        <v>39.99</v>
      </c>
      <c r="F196">
        <v>-82.88</v>
      </c>
      <c r="G196">
        <v>2019</v>
      </c>
      <c r="H196">
        <v>40</v>
      </c>
      <c r="I196" t="s">
        <v>16</v>
      </c>
      <c r="J196">
        <v>1286.2471373869801</v>
      </c>
      <c r="K196">
        <v>8044.5309773916297</v>
      </c>
      <c r="L196">
        <v>-7888.427405036</v>
      </c>
      <c r="M196">
        <v>584.77571391301797</v>
      </c>
      <c r="N196">
        <f t="shared" ref="N196:N197" si="92">J196/J194</f>
        <v>1.0004509189704671</v>
      </c>
    </row>
    <row r="197" spans="1:14" x14ac:dyDescent="0.3">
      <c r="A197" t="s">
        <v>24</v>
      </c>
      <c r="B197" t="s">
        <v>25</v>
      </c>
      <c r="C197" t="s">
        <v>26</v>
      </c>
      <c r="D197">
        <v>448494</v>
      </c>
      <c r="E197">
        <v>39.99</v>
      </c>
      <c r="F197">
        <v>-82.88</v>
      </c>
      <c r="G197">
        <v>2019</v>
      </c>
      <c r="H197">
        <v>40</v>
      </c>
      <c r="I197" t="s">
        <v>17</v>
      </c>
      <c r="J197">
        <v>1288.1396081441601</v>
      </c>
      <c r="K197">
        <v>8011.5056806078701</v>
      </c>
      <c r="L197">
        <v>-7886.6373666130903</v>
      </c>
      <c r="M197">
        <v>582.883243155836</v>
      </c>
      <c r="N197">
        <f t="shared" si="92"/>
        <v>1.0003547741499161</v>
      </c>
    </row>
    <row r="198" spans="1:14" x14ac:dyDescent="0.3">
      <c r="A198" t="s">
        <v>24</v>
      </c>
      <c r="B198" t="s">
        <v>25</v>
      </c>
      <c r="C198" t="s">
        <v>26</v>
      </c>
      <c r="D198">
        <v>448494</v>
      </c>
      <c r="E198">
        <v>39.99</v>
      </c>
      <c r="F198">
        <v>-82.88</v>
      </c>
      <c r="G198">
        <v>2019</v>
      </c>
      <c r="H198">
        <v>60</v>
      </c>
      <c r="I198" t="s">
        <v>16</v>
      </c>
      <c r="J198">
        <v>1286.99231611549</v>
      </c>
      <c r="K198">
        <v>8048.42433824811</v>
      </c>
      <c r="L198">
        <v>-7879.96640910734</v>
      </c>
      <c r="M198">
        <v>584.03053518450304</v>
      </c>
      <c r="N198">
        <f t="shared" ref="N198:N199" si="93">J198/J194</f>
        <v>1.0010305235597139</v>
      </c>
    </row>
    <row r="199" spans="1:14" x14ac:dyDescent="0.3">
      <c r="A199" t="s">
        <v>24</v>
      </c>
      <c r="B199" t="s">
        <v>25</v>
      </c>
      <c r="C199" t="s">
        <v>26</v>
      </c>
      <c r="D199">
        <v>448494</v>
      </c>
      <c r="E199">
        <v>39.99</v>
      </c>
      <c r="F199">
        <v>-82.88</v>
      </c>
      <c r="G199">
        <v>2019</v>
      </c>
      <c r="H199">
        <v>60</v>
      </c>
      <c r="I199" t="s">
        <v>17</v>
      </c>
      <c r="J199">
        <v>1288.81462235763</v>
      </c>
      <c r="K199">
        <v>8016.6921233454796</v>
      </c>
      <c r="L199">
        <v>-7877.4142876987098</v>
      </c>
      <c r="M199">
        <v>582.20822894236801</v>
      </c>
      <c r="N199">
        <f t="shared" si="93"/>
        <v>1.0008789826183107</v>
      </c>
    </row>
    <row r="200" spans="1:14" x14ac:dyDescent="0.3">
      <c r="A200" t="s">
        <v>24</v>
      </c>
      <c r="B200" t="s">
        <v>25</v>
      </c>
      <c r="C200" t="s">
        <v>26</v>
      </c>
      <c r="D200">
        <v>448494</v>
      </c>
      <c r="E200">
        <v>39.99</v>
      </c>
      <c r="F200">
        <v>-82.88</v>
      </c>
      <c r="G200">
        <v>2019</v>
      </c>
      <c r="H200">
        <v>80</v>
      </c>
      <c r="I200" t="s">
        <v>16</v>
      </c>
      <c r="J200">
        <v>1287.05229090475</v>
      </c>
      <c r="K200">
        <v>8056.2049937163601</v>
      </c>
      <c r="L200">
        <v>-7875.93298774088</v>
      </c>
      <c r="M200">
        <v>583.97056039524603</v>
      </c>
      <c r="N200">
        <f t="shared" ref="N200:N201" si="94">J200/J194</f>
        <v>1.00107717231895</v>
      </c>
    </row>
    <row r="201" spans="1:14" x14ac:dyDescent="0.3">
      <c r="A201" t="s">
        <v>24</v>
      </c>
      <c r="B201" t="s">
        <v>25</v>
      </c>
      <c r="C201" t="s">
        <v>26</v>
      </c>
      <c r="D201">
        <v>448494</v>
      </c>
      <c r="E201">
        <v>39.99</v>
      </c>
      <c r="F201">
        <v>-82.88</v>
      </c>
      <c r="G201">
        <v>2019</v>
      </c>
      <c r="H201">
        <v>80</v>
      </c>
      <c r="I201" t="s">
        <v>17</v>
      </c>
      <c r="J201">
        <v>1288.8442599156599</v>
      </c>
      <c r="K201">
        <v>8022.1779500907096</v>
      </c>
      <c r="L201">
        <v>-7873.3569836781298</v>
      </c>
      <c r="M201">
        <v>582.17859138433596</v>
      </c>
      <c r="N201">
        <f t="shared" si="94"/>
        <v>1.0009019988135133</v>
      </c>
    </row>
    <row r="202" spans="1:14" x14ac:dyDescent="0.3">
      <c r="A202" t="s">
        <v>24</v>
      </c>
      <c r="B202" t="s">
        <v>25</v>
      </c>
      <c r="C202" t="s">
        <v>26</v>
      </c>
      <c r="D202">
        <v>448494</v>
      </c>
      <c r="E202">
        <v>39.99</v>
      </c>
      <c r="F202">
        <v>-82.88</v>
      </c>
      <c r="G202">
        <v>2020</v>
      </c>
      <c r="H202">
        <v>0</v>
      </c>
      <c r="I202" t="s">
        <v>16</v>
      </c>
      <c r="J202">
        <v>1279.9431591114201</v>
      </c>
      <c r="K202">
        <v>8013.7099845181501</v>
      </c>
      <c r="L202">
        <v>-7954.4454626889001</v>
      </c>
      <c r="M202">
        <v>565.30812980787903</v>
      </c>
      <c r="N202">
        <f t="shared" ref="N202:N203" si="95">J202/J204</f>
        <v>0.99762791928942984</v>
      </c>
    </row>
    <row r="203" spans="1:14" x14ac:dyDescent="0.3">
      <c r="A203" t="s">
        <v>24</v>
      </c>
      <c r="B203" t="s">
        <v>25</v>
      </c>
      <c r="C203" t="s">
        <v>26</v>
      </c>
      <c r="D203">
        <v>448494</v>
      </c>
      <c r="E203">
        <v>39.99</v>
      </c>
      <c r="F203">
        <v>-82.88</v>
      </c>
      <c r="G203">
        <v>2020</v>
      </c>
      <c r="H203">
        <v>0</v>
      </c>
      <c r="I203" t="s">
        <v>17</v>
      </c>
      <c r="J203">
        <v>1230.1518135506101</v>
      </c>
      <c r="K203">
        <v>7660.2853914544903</v>
      </c>
      <c r="L203">
        <v>-8544.8549915533204</v>
      </c>
      <c r="M203">
        <v>615.09947536868799</v>
      </c>
      <c r="N203">
        <f t="shared" si="95"/>
        <v>0.99802826406682499</v>
      </c>
    </row>
    <row r="204" spans="1:14" x14ac:dyDescent="0.3">
      <c r="A204" t="s">
        <v>24</v>
      </c>
      <c r="B204" t="s">
        <v>25</v>
      </c>
      <c r="C204" t="s">
        <v>26</v>
      </c>
      <c r="D204">
        <v>448494</v>
      </c>
      <c r="E204">
        <v>39.99</v>
      </c>
      <c r="F204">
        <v>-82.88</v>
      </c>
      <c r="G204">
        <v>2020</v>
      </c>
      <c r="H204">
        <v>20</v>
      </c>
      <c r="I204" t="s">
        <v>16</v>
      </c>
      <c r="J204">
        <v>1282.98650665578</v>
      </c>
      <c r="K204">
        <v>8032.8252790688803</v>
      </c>
      <c r="L204">
        <v>-7924.4976164789296</v>
      </c>
      <c r="M204">
        <v>562.26478226351605</v>
      </c>
      <c r="N204">
        <f t="shared" ref="N204:N241" si="96">J204/J204</f>
        <v>1</v>
      </c>
    </row>
    <row r="205" spans="1:14" x14ac:dyDescent="0.3">
      <c r="A205" t="s">
        <v>24</v>
      </c>
      <c r="B205" t="s">
        <v>25</v>
      </c>
      <c r="C205" t="s">
        <v>26</v>
      </c>
      <c r="D205">
        <v>448494</v>
      </c>
      <c r="E205">
        <v>39.99</v>
      </c>
      <c r="F205">
        <v>-82.88</v>
      </c>
      <c r="G205">
        <v>2020</v>
      </c>
      <c r="H205">
        <v>20</v>
      </c>
      <c r="I205" t="s">
        <v>17</v>
      </c>
      <c r="J205">
        <v>1232.58214004673</v>
      </c>
      <c r="K205">
        <v>7677.7198964732797</v>
      </c>
      <c r="L205">
        <v>-8518.8703214458001</v>
      </c>
      <c r="M205">
        <v>612.66914887256405</v>
      </c>
      <c r="N205">
        <f t="shared" si="96"/>
        <v>1</v>
      </c>
    </row>
    <row r="206" spans="1:14" x14ac:dyDescent="0.3">
      <c r="A206" t="s">
        <v>24</v>
      </c>
      <c r="B206" t="s">
        <v>25</v>
      </c>
      <c r="C206" t="s">
        <v>26</v>
      </c>
      <c r="D206">
        <v>448494</v>
      </c>
      <c r="E206">
        <v>39.99</v>
      </c>
      <c r="F206">
        <v>-82.88</v>
      </c>
      <c r="G206">
        <v>2020</v>
      </c>
      <c r="H206">
        <v>40</v>
      </c>
      <c r="I206" t="s">
        <v>16</v>
      </c>
      <c r="J206">
        <v>1284.0463188765</v>
      </c>
      <c r="K206">
        <v>8040.2702233664804</v>
      </c>
      <c r="L206">
        <v>-7912.3938364593796</v>
      </c>
      <c r="M206">
        <v>561.204970042794</v>
      </c>
      <c r="N206">
        <f t="shared" ref="N206:N207" si="97">J206/J204</f>
        <v>1.0008260509484879</v>
      </c>
    </row>
    <row r="207" spans="1:14" x14ac:dyDescent="0.3">
      <c r="A207" t="s">
        <v>24</v>
      </c>
      <c r="B207" t="s">
        <v>25</v>
      </c>
      <c r="C207" t="s">
        <v>26</v>
      </c>
      <c r="D207">
        <v>448494</v>
      </c>
      <c r="E207">
        <v>39.99</v>
      </c>
      <c r="F207">
        <v>-82.88</v>
      </c>
      <c r="G207">
        <v>2020</v>
      </c>
      <c r="H207">
        <v>40</v>
      </c>
      <c r="I207" t="s">
        <v>17</v>
      </c>
      <c r="J207">
        <v>1232.9226864324801</v>
      </c>
      <c r="K207">
        <v>7679.1346448450004</v>
      </c>
      <c r="L207">
        <v>-8509.6530664067395</v>
      </c>
      <c r="M207">
        <v>612.32860248682096</v>
      </c>
      <c r="N207">
        <f t="shared" si="97"/>
        <v>1.0002762869708117</v>
      </c>
    </row>
    <row r="208" spans="1:14" x14ac:dyDescent="0.3">
      <c r="A208" t="s">
        <v>24</v>
      </c>
      <c r="B208" t="s">
        <v>25</v>
      </c>
      <c r="C208" t="s">
        <v>26</v>
      </c>
      <c r="D208">
        <v>448494</v>
      </c>
      <c r="E208">
        <v>39.99</v>
      </c>
      <c r="F208">
        <v>-82.88</v>
      </c>
      <c r="G208">
        <v>2020</v>
      </c>
      <c r="H208">
        <v>60</v>
      </c>
      <c r="I208" t="s">
        <v>16</v>
      </c>
      <c r="J208">
        <v>1284.513662311</v>
      </c>
      <c r="K208">
        <v>8045.9636799212603</v>
      </c>
      <c r="L208">
        <v>-7903.8975835633901</v>
      </c>
      <c r="M208">
        <v>560.73762660830005</v>
      </c>
      <c r="N208">
        <f t="shared" ref="N208:N209" si="98">J208/J204</f>
        <v>1.0011903131071898</v>
      </c>
    </row>
    <row r="209" spans="1:14" x14ac:dyDescent="0.3">
      <c r="A209" t="s">
        <v>24</v>
      </c>
      <c r="B209" t="s">
        <v>25</v>
      </c>
      <c r="C209" t="s">
        <v>26</v>
      </c>
      <c r="D209">
        <v>448494</v>
      </c>
      <c r="E209">
        <v>39.99</v>
      </c>
      <c r="F209">
        <v>-82.88</v>
      </c>
      <c r="G209">
        <v>2020</v>
      </c>
      <c r="H209">
        <v>60</v>
      </c>
      <c r="I209" t="s">
        <v>17</v>
      </c>
      <c r="J209">
        <v>1233.6145848332201</v>
      </c>
      <c r="K209">
        <v>7686.8645417971602</v>
      </c>
      <c r="L209">
        <v>-8500.0221269927406</v>
      </c>
      <c r="M209">
        <v>611.63670408607402</v>
      </c>
      <c r="N209">
        <f t="shared" si="98"/>
        <v>1.0008376275729995</v>
      </c>
    </row>
    <row r="210" spans="1:14" x14ac:dyDescent="0.3">
      <c r="A210" t="s">
        <v>24</v>
      </c>
      <c r="B210" t="s">
        <v>25</v>
      </c>
      <c r="C210" t="s">
        <v>26</v>
      </c>
      <c r="D210">
        <v>448494</v>
      </c>
      <c r="E210">
        <v>39.99</v>
      </c>
      <c r="F210">
        <v>-82.88</v>
      </c>
      <c r="G210">
        <v>2020</v>
      </c>
      <c r="H210">
        <v>80</v>
      </c>
      <c r="I210" t="s">
        <v>16</v>
      </c>
      <c r="J210">
        <v>1285.00848558609</v>
      </c>
      <c r="K210">
        <v>8054.3968916173899</v>
      </c>
      <c r="L210">
        <v>-7892.5502485710804</v>
      </c>
      <c r="M210">
        <v>560.24280333321099</v>
      </c>
      <c r="N210">
        <f t="shared" ref="N210:N211" si="99">J210/J204</f>
        <v>1.0015759939171773</v>
      </c>
    </row>
    <row r="211" spans="1:14" x14ac:dyDescent="0.3">
      <c r="A211" t="s">
        <v>24</v>
      </c>
      <c r="B211" t="s">
        <v>25</v>
      </c>
      <c r="C211" t="s">
        <v>26</v>
      </c>
      <c r="D211">
        <v>448494</v>
      </c>
      <c r="E211">
        <v>39.99</v>
      </c>
      <c r="F211">
        <v>-82.88</v>
      </c>
      <c r="G211">
        <v>2020</v>
      </c>
      <c r="H211">
        <v>80</v>
      </c>
      <c r="I211" t="s">
        <v>17</v>
      </c>
      <c r="J211">
        <v>1233.9826344835999</v>
      </c>
      <c r="K211">
        <v>7691.7216570089404</v>
      </c>
      <c r="L211">
        <v>-8495.0303532264206</v>
      </c>
      <c r="M211">
        <v>611.26865443570102</v>
      </c>
      <c r="N211">
        <f t="shared" si="99"/>
        <v>1.0011362280787361</v>
      </c>
    </row>
    <row r="212" spans="1:14" x14ac:dyDescent="0.3">
      <c r="A212" t="s">
        <v>24</v>
      </c>
      <c r="B212" t="s">
        <v>25</v>
      </c>
      <c r="C212" t="s">
        <v>26</v>
      </c>
      <c r="D212">
        <v>448494</v>
      </c>
      <c r="E212">
        <v>39.99</v>
      </c>
      <c r="F212">
        <v>-82.88</v>
      </c>
      <c r="G212">
        <v>2021</v>
      </c>
      <c r="H212">
        <v>0</v>
      </c>
      <c r="I212" t="s">
        <v>16</v>
      </c>
      <c r="J212">
        <v>1281.4437867736401</v>
      </c>
      <c r="K212">
        <v>8018.4721132888799</v>
      </c>
      <c r="L212">
        <v>-7955.6700588605299</v>
      </c>
      <c r="M212">
        <v>573.00055043397697</v>
      </c>
      <c r="N212">
        <f t="shared" ref="N212:N213" si="100">J212/J214</f>
        <v>0.99834912784459351</v>
      </c>
    </row>
    <row r="213" spans="1:14" x14ac:dyDescent="0.3">
      <c r="A213" t="s">
        <v>24</v>
      </c>
      <c r="B213" t="s">
        <v>25</v>
      </c>
      <c r="C213" t="s">
        <v>26</v>
      </c>
      <c r="D213">
        <v>448494</v>
      </c>
      <c r="E213">
        <v>39.99</v>
      </c>
      <c r="F213">
        <v>-82.88</v>
      </c>
      <c r="G213">
        <v>2021</v>
      </c>
      <c r="H213">
        <v>0</v>
      </c>
      <c r="I213" t="s">
        <v>17</v>
      </c>
      <c r="J213">
        <v>1319.9038151238501</v>
      </c>
      <c r="K213">
        <v>8307.2504569000503</v>
      </c>
      <c r="L213">
        <v>-7474.2951719537396</v>
      </c>
      <c r="M213">
        <v>534.54052208376299</v>
      </c>
      <c r="N213">
        <f t="shared" si="100"/>
        <v>0.99829872805124953</v>
      </c>
    </row>
    <row r="214" spans="1:14" x14ac:dyDescent="0.3">
      <c r="A214" t="s">
        <v>24</v>
      </c>
      <c r="B214" t="s">
        <v>25</v>
      </c>
      <c r="C214" t="s">
        <v>26</v>
      </c>
      <c r="D214">
        <v>448494</v>
      </c>
      <c r="E214">
        <v>39.99</v>
      </c>
      <c r="F214">
        <v>-82.88</v>
      </c>
      <c r="G214">
        <v>2021</v>
      </c>
      <c r="H214">
        <v>20</v>
      </c>
      <c r="I214" t="s">
        <v>16</v>
      </c>
      <c r="J214">
        <v>1283.5627848348399</v>
      </c>
      <c r="K214">
        <v>8031.4388821228404</v>
      </c>
      <c r="L214">
        <v>-7920.8249950012596</v>
      </c>
      <c r="M214">
        <v>570.88155237276999</v>
      </c>
      <c r="N214">
        <f t="shared" ref="N214:N241" si="101">J214/J214</f>
        <v>1</v>
      </c>
    </row>
    <row r="215" spans="1:14" x14ac:dyDescent="0.3">
      <c r="A215" t="s">
        <v>24</v>
      </c>
      <c r="B215" t="s">
        <v>25</v>
      </c>
      <c r="C215" t="s">
        <v>26</v>
      </c>
      <c r="D215">
        <v>448494</v>
      </c>
      <c r="E215">
        <v>39.99</v>
      </c>
      <c r="F215">
        <v>-82.88</v>
      </c>
      <c r="G215">
        <v>2021</v>
      </c>
      <c r="H215">
        <v>20</v>
      </c>
      <c r="I215" t="s">
        <v>17</v>
      </c>
      <c r="J215">
        <v>1322.1531572021499</v>
      </c>
      <c r="K215">
        <v>8321.7921440763603</v>
      </c>
      <c r="L215">
        <v>-7450.5396084582599</v>
      </c>
      <c r="M215">
        <v>532.29118000546703</v>
      </c>
      <c r="N215">
        <f t="shared" si="101"/>
        <v>1</v>
      </c>
    </row>
    <row r="216" spans="1:14" x14ac:dyDescent="0.3">
      <c r="A216" t="s">
        <v>24</v>
      </c>
      <c r="B216" t="s">
        <v>25</v>
      </c>
      <c r="C216" t="s">
        <v>26</v>
      </c>
      <c r="D216">
        <v>448494</v>
      </c>
      <c r="E216">
        <v>39.99</v>
      </c>
      <c r="F216">
        <v>-82.88</v>
      </c>
      <c r="G216">
        <v>2021</v>
      </c>
      <c r="H216">
        <v>40</v>
      </c>
      <c r="I216" t="s">
        <v>16</v>
      </c>
      <c r="J216">
        <v>1284.72113151492</v>
      </c>
      <c r="K216">
        <v>8040.3859214862596</v>
      </c>
      <c r="L216">
        <v>-7907.7507696173798</v>
      </c>
      <c r="M216">
        <v>569.72320569268902</v>
      </c>
      <c r="N216">
        <f t="shared" ref="N216:N217" si="102">J216/J214</f>
        <v>1.0009024464512104</v>
      </c>
    </row>
    <row r="217" spans="1:14" x14ac:dyDescent="0.3">
      <c r="A217" t="s">
        <v>24</v>
      </c>
      <c r="B217" t="s">
        <v>25</v>
      </c>
      <c r="C217" t="s">
        <v>26</v>
      </c>
      <c r="D217">
        <v>448494</v>
      </c>
      <c r="E217">
        <v>39.99</v>
      </c>
      <c r="F217">
        <v>-82.88</v>
      </c>
      <c r="G217">
        <v>2021</v>
      </c>
      <c r="H217">
        <v>40</v>
      </c>
      <c r="I217" t="s">
        <v>17</v>
      </c>
      <c r="J217">
        <v>1322.6523930862199</v>
      </c>
      <c r="K217">
        <v>8326.5221164950999</v>
      </c>
      <c r="L217">
        <v>-7440.6548401487998</v>
      </c>
      <c r="M217">
        <v>531.79194412139498</v>
      </c>
      <c r="N217">
        <f t="shared" si="102"/>
        <v>1.0003775930809153</v>
      </c>
    </row>
    <row r="218" spans="1:14" x14ac:dyDescent="0.3">
      <c r="A218" t="s">
        <v>24</v>
      </c>
      <c r="B218" t="s">
        <v>25</v>
      </c>
      <c r="C218" t="s">
        <v>26</v>
      </c>
      <c r="D218">
        <v>448494</v>
      </c>
      <c r="E218">
        <v>39.99</v>
      </c>
      <c r="F218">
        <v>-82.88</v>
      </c>
      <c r="G218">
        <v>2021</v>
      </c>
      <c r="H218">
        <v>60</v>
      </c>
      <c r="I218" t="s">
        <v>16</v>
      </c>
      <c r="J218">
        <v>1285.3205668262301</v>
      </c>
      <c r="K218">
        <v>8046.3436137623003</v>
      </c>
      <c r="L218">
        <v>-7898.3281105962897</v>
      </c>
      <c r="M218">
        <v>569.12377038138095</v>
      </c>
      <c r="N218">
        <f t="shared" ref="N218:N219" si="103">J218/J214</f>
        <v>1.001369455403474</v>
      </c>
    </row>
    <row r="219" spans="1:14" x14ac:dyDescent="0.3">
      <c r="A219" t="s">
        <v>24</v>
      </c>
      <c r="B219" t="s">
        <v>25</v>
      </c>
      <c r="C219" t="s">
        <v>26</v>
      </c>
      <c r="D219">
        <v>448494</v>
      </c>
      <c r="E219">
        <v>39.99</v>
      </c>
      <c r="F219">
        <v>-82.88</v>
      </c>
      <c r="G219">
        <v>2021</v>
      </c>
      <c r="H219">
        <v>60</v>
      </c>
      <c r="I219" t="s">
        <v>17</v>
      </c>
      <c r="J219">
        <v>1323.6275947920601</v>
      </c>
      <c r="K219">
        <v>8333.9663485055207</v>
      </c>
      <c r="L219">
        <v>-7433.3630586888903</v>
      </c>
      <c r="M219">
        <v>530.81674241555197</v>
      </c>
      <c r="N219">
        <f t="shared" si="103"/>
        <v>1.0011151791166391</v>
      </c>
    </row>
    <row r="220" spans="1:14" x14ac:dyDescent="0.3">
      <c r="A220" t="s">
        <v>24</v>
      </c>
      <c r="B220" t="s">
        <v>25</v>
      </c>
      <c r="C220" t="s">
        <v>26</v>
      </c>
      <c r="D220">
        <v>448494</v>
      </c>
      <c r="E220">
        <v>39.99</v>
      </c>
      <c r="F220">
        <v>-82.88</v>
      </c>
      <c r="G220">
        <v>2021</v>
      </c>
      <c r="H220">
        <v>80</v>
      </c>
      <c r="I220" t="s">
        <v>16</v>
      </c>
      <c r="J220">
        <v>1286.1742482315799</v>
      </c>
      <c r="K220">
        <v>8053.56044469677</v>
      </c>
      <c r="L220">
        <v>-7885.9318505484498</v>
      </c>
      <c r="M220">
        <v>568.270088976034</v>
      </c>
      <c r="N220">
        <f t="shared" ref="N220:N221" si="104">J220/J214</f>
        <v>1.0020345427801383</v>
      </c>
    </row>
    <row r="221" spans="1:14" x14ac:dyDescent="0.3">
      <c r="A221" t="s">
        <v>24</v>
      </c>
      <c r="B221" t="s">
        <v>25</v>
      </c>
      <c r="C221" t="s">
        <v>26</v>
      </c>
      <c r="D221">
        <v>448494</v>
      </c>
      <c r="E221">
        <v>39.99</v>
      </c>
      <c r="F221">
        <v>-82.88</v>
      </c>
      <c r="G221">
        <v>2021</v>
      </c>
      <c r="H221">
        <v>80</v>
      </c>
      <c r="I221" t="s">
        <v>17</v>
      </c>
      <c r="J221">
        <v>1323.7620728587799</v>
      </c>
      <c r="K221">
        <v>8340.1722505833095</v>
      </c>
      <c r="L221">
        <v>-7424.9101864484001</v>
      </c>
      <c r="M221">
        <v>530.68226434883502</v>
      </c>
      <c r="N221">
        <f t="shared" si="104"/>
        <v>1.0012168905303185</v>
      </c>
    </row>
    <row r="222" spans="1:14" x14ac:dyDescent="0.3">
      <c r="A222" t="s">
        <v>24</v>
      </c>
      <c r="B222" t="s">
        <v>25</v>
      </c>
      <c r="C222" t="s">
        <v>26</v>
      </c>
      <c r="D222">
        <v>448494</v>
      </c>
      <c r="E222">
        <v>39.99</v>
      </c>
      <c r="F222">
        <v>-82.88</v>
      </c>
      <c r="G222">
        <v>2022</v>
      </c>
      <c r="H222">
        <v>0</v>
      </c>
      <c r="I222" t="s">
        <v>16</v>
      </c>
      <c r="J222">
        <v>1284.1663546567199</v>
      </c>
      <c r="K222">
        <v>8015.0116147707404</v>
      </c>
      <c r="L222">
        <v>-7915.6169433186396</v>
      </c>
      <c r="M222">
        <v>561.22518084168303</v>
      </c>
      <c r="N222">
        <f t="shared" ref="N222:N223" si="105">J222/J224</f>
        <v>0.99781093281773547</v>
      </c>
    </row>
    <row r="223" spans="1:14" x14ac:dyDescent="0.3">
      <c r="A223" t="s">
        <v>24</v>
      </c>
      <c r="B223" t="s">
        <v>25</v>
      </c>
      <c r="C223" t="s">
        <v>26</v>
      </c>
      <c r="D223">
        <v>448494</v>
      </c>
      <c r="E223">
        <v>39.99</v>
      </c>
      <c r="F223">
        <v>-82.88</v>
      </c>
      <c r="G223">
        <v>2022</v>
      </c>
      <c r="H223">
        <v>0</v>
      </c>
      <c r="I223" t="s">
        <v>17</v>
      </c>
      <c r="J223">
        <v>1329.56758363268</v>
      </c>
      <c r="K223">
        <v>8302.5544271147392</v>
      </c>
      <c r="L223">
        <v>-7404.73148442212</v>
      </c>
      <c r="M223">
        <v>515.82395186572001</v>
      </c>
      <c r="N223">
        <f t="shared" si="105"/>
        <v>0.99930073969903621</v>
      </c>
    </row>
    <row r="224" spans="1:14" x14ac:dyDescent="0.3">
      <c r="A224" t="s">
        <v>24</v>
      </c>
      <c r="B224" t="s">
        <v>25</v>
      </c>
      <c r="C224" t="s">
        <v>26</v>
      </c>
      <c r="D224">
        <v>448494</v>
      </c>
      <c r="E224">
        <v>39.99</v>
      </c>
      <c r="F224">
        <v>-82.88</v>
      </c>
      <c r="G224">
        <v>2022</v>
      </c>
      <c r="H224">
        <v>20</v>
      </c>
      <c r="I224" t="s">
        <v>16</v>
      </c>
      <c r="J224">
        <v>1286.98364832538</v>
      </c>
      <c r="K224">
        <v>8033.5190757211203</v>
      </c>
      <c r="L224">
        <v>-7881.0797388095898</v>
      </c>
      <c r="M224">
        <v>558.40788717301598</v>
      </c>
      <c r="N224">
        <f t="shared" ref="N224:N241" si="106">J224/J224</f>
        <v>1</v>
      </c>
    </row>
    <row r="225" spans="1:14" x14ac:dyDescent="0.3">
      <c r="A225" t="s">
        <v>24</v>
      </c>
      <c r="B225" t="s">
        <v>25</v>
      </c>
      <c r="C225" t="s">
        <v>26</v>
      </c>
      <c r="D225">
        <v>448494</v>
      </c>
      <c r="E225">
        <v>39.99</v>
      </c>
      <c r="F225">
        <v>-82.88</v>
      </c>
      <c r="G225">
        <v>2022</v>
      </c>
      <c r="H225">
        <v>20</v>
      </c>
      <c r="I225" t="s">
        <v>17</v>
      </c>
      <c r="J225">
        <v>1330.49794802825</v>
      </c>
      <c r="K225">
        <v>8309.5022007223597</v>
      </c>
      <c r="L225">
        <v>-7383.4067858320204</v>
      </c>
      <c r="M225">
        <v>514.89358747014398</v>
      </c>
      <c r="N225">
        <f t="shared" si="106"/>
        <v>1</v>
      </c>
    </row>
    <row r="226" spans="1:14" x14ac:dyDescent="0.3">
      <c r="A226" t="s">
        <v>24</v>
      </c>
      <c r="B226" t="s">
        <v>25</v>
      </c>
      <c r="C226" t="s">
        <v>26</v>
      </c>
      <c r="D226">
        <v>448494</v>
      </c>
      <c r="E226">
        <v>39.99</v>
      </c>
      <c r="F226">
        <v>-82.88</v>
      </c>
      <c r="G226">
        <v>2022</v>
      </c>
      <c r="H226">
        <v>40</v>
      </c>
      <c r="I226" t="s">
        <v>16</v>
      </c>
      <c r="J226">
        <v>1288.0119156923099</v>
      </c>
      <c r="K226">
        <v>8041.1533278122697</v>
      </c>
      <c r="L226">
        <v>-7868.6015864476003</v>
      </c>
      <c r="M226">
        <v>557.37961980608895</v>
      </c>
      <c r="N226">
        <f t="shared" ref="N226:N227" si="107">J226/J224</f>
        <v>1.0007989746942534</v>
      </c>
    </row>
    <row r="227" spans="1:14" x14ac:dyDescent="0.3">
      <c r="A227" t="s">
        <v>24</v>
      </c>
      <c r="B227" t="s">
        <v>25</v>
      </c>
      <c r="C227" t="s">
        <v>26</v>
      </c>
      <c r="D227">
        <v>448494</v>
      </c>
      <c r="E227">
        <v>39.99</v>
      </c>
      <c r="F227">
        <v>-82.88</v>
      </c>
      <c r="G227">
        <v>2022</v>
      </c>
      <c r="H227">
        <v>40</v>
      </c>
      <c r="I227" t="s">
        <v>17</v>
      </c>
      <c r="J227">
        <v>1331.2814130801601</v>
      </c>
      <c r="K227">
        <v>8315.0389381719506</v>
      </c>
      <c r="L227">
        <v>-7374.1115378731101</v>
      </c>
      <c r="M227">
        <v>514.11012241823596</v>
      </c>
      <c r="N227">
        <f t="shared" si="107"/>
        <v>1.0005888510035443</v>
      </c>
    </row>
    <row r="228" spans="1:14" x14ac:dyDescent="0.3">
      <c r="A228" t="s">
        <v>24</v>
      </c>
      <c r="B228" t="s">
        <v>25</v>
      </c>
      <c r="C228" t="s">
        <v>26</v>
      </c>
      <c r="D228">
        <v>448494</v>
      </c>
      <c r="E228">
        <v>39.99</v>
      </c>
      <c r="F228">
        <v>-82.88</v>
      </c>
      <c r="G228">
        <v>2022</v>
      </c>
      <c r="H228">
        <v>60</v>
      </c>
      <c r="I228" t="s">
        <v>16</v>
      </c>
      <c r="J228">
        <v>1287.92472932599</v>
      </c>
      <c r="K228">
        <v>8043.0462020503001</v>
      </c>
      <c r="L228">
        <v>-7861.7844266331604</v>
      </c>
      <c r="M228">
        <v>557.466806172411</v>
      </c>
      <c r="N228">
        <f t="shared" ref="N228:N229" si="108">J228/J224</f>
        <v>1.0007312299591642</v>
      </c>
    </row>
    <row r="229" spans="1:14" x14ac:dyDescent="0.3">
      <c r="A229" t="s">
        <v>24</v>
      </c>
      <c r="B229" t="s">
        <v>25</v>
      </c>
      <c r="C229" t="s">
        <v>26</v>
      </c>
      <c r="D229">
        <v>448494</v>
      </c>
      <c r="E229">
        <v>39.99</v>
      </c>
      <c r="F229">
        <v>-82.88</v>
      </c>
      <c r="G229">
        <v>2022</v>
      </c>
      <c r="H229">
        <v>60</v>
      </c>
      <c r="I229" t="s">
        <v>17</v>
      </c>
      <c r="J229">
        <v>1331.81648157154</v>
      </c>
      <c r="K229">
        <v>8321.0239445655006</v>
      </c>
      <c r="L229">
        <v>-7367.0947998186602</v>
      </c>
      <c r="M229">
        <v>513.57505392685403</v>
      </c>
      <c r="N229">
        <f t="shared" si="108"/>
        <v>1.0009910075737012</v>
      </c>
    </row>
    <row r="230" spans="1:14" x14ac:dyDescent="0.3">
      <c r="A230" t="s">
        <v>24</v>
      </c>
      <c r="B230" t="s">
        <v>25</v>
      </c>
      <c r="C230" t="s">
        <v>26</v>
      </c>
      <c r="D230">
        <v>448494</v>
      </c>
      <c r="E230">
        <v>39.99</v>
      </c>
      <c r="F230">
        <v>-82.88</v>
      </c>
      <c r="G230">
        <v>2022</v>
      </c>
      <c r="H230">
        <v>80</v>
      </c>
      <c r="I230" t="s">
        <v>16</v>
      </c>
      <c r="J230">
        <v>1289.41813094857</v>
      </c>
      <c r="K230">
        <v>8054.3339392678399</v>
      </c>
      <c r="L230">
        <v>-7851.9494333553503</v>
      </c>
      <c r="M230">
        <v>555.97340454982395</v>
      </c>
      <c r="N230">
        <f t="shared" ref="N230:N231" si="109">J230/J224</f>
        <v>1.0018916189233311</v>
      </c>
    </row>
    <row r="231" spans="1:14" x14ac:dyDescent="0.3">
      <c r="A231" t="s">
        <v>24</v>
      </c>
      <c r="B231" t="s">
        <v>25</v>
      </c>
      <c r="C231" t="s">
        <v>26</v>
      </c>
      <c r="D231">
        <v>448494</v>
      </c>
      <c r="E231">
        <v>39.99</v>
      </c>
      <c r="F231">
        <v>-82.88</v>
      </c>
      <c r="G231">
        <v>2022</v>
      </c>
      <c r="H231">
        <v>80</v>
      </c>
      <c r="I231" t="s">
        <v>17</v>
      </c>
      <c r="J231">
        <v>1332.04381619022</v>
      </c>
      <c r="K231">
        <v>8326.85947737059</v>
      </c>
      <c r="L231">
        <v>-7365.4417779659498</v>
      </c>
      <c r="M231">
        <v>513.34771930817499</v>
      </c>
      <c r="N231">
        <f t="shared" si="109"/>
        <v>1.0011618718873343</v>
      </c>
    </row>
    <row r="232" spans="1:14" x14ac:dyDescent="0.3">
      <c r="A232" t="s">
        <v>24</v>
      </c>
      <c r="B232" t="s">
        <v>25</v>
      </c>
      <c r="C232" t="s">
        <v>26</v>
      </c>
      <c r="D232">
        <v>448494</v>
      </c>
      <c r="E232">
        <v>39.99</v>
      </c>
      <c r="F232">
        <v>-82.88</v>
      </c>
      <c r="G232">
        <v>2023</v>
      </c>
      <c r="H232">
        <v>0</v>
      </c>
      <c r="I232" t="s">
        <v>16</v>
      </c>
      <c r="J232">
        <v>1282.5856600689999</v>
      </c>
      <c r="K232">
        <v>8023.4430585248701</v>
      </c>
      <c r="L232">
        <v>-7943.2216828652099</v>
      </c>
      <c r="M232">
        <v>544.02984948998096</v>
      </c>
      <c r="N232">
        <f t="shared" ref="N232:N233" si="110">J232/J234</f>
        <v>0.99809643415314631</v>
      </c>
    </row>
    <row r="233" spans="1:14" x14ac:dyDescent="0.3">
      <c r="A233" t="s">
        <v>24</v>
      </c>
      <c r="B233" t="s">
        <v>25</v>
      </c>
      <c r="C233" t="s">
        <v>26</v>
      </c>
      <c r="D233">
        <v>448494</v>
      </c>
      <c r="E233">
        <v>39.99</v>
      </c>
      <c r="F233">
        <v>-82.88</v>
      </c>
      <c r="G233">
        <v>2023</v>
      </c>
      <c r="H233">
        <v>0</v>
      </c>
      <c r="I233" t="s">
        <v>17</v>
      </c>
      <c r="J233">
        <v>1304.3152268220001</v>
      </c>
      <c r="K233">
        <v>8179.1797978159902</v>
      </c>
      <c r="L233">
        <v>-7672.3976275273299</v>
      </c>
      <c r="M233">
        <v>522.30028273697906</v>
      </c>
      <c r="N233">
        <f t="shared" si="110"/>
        <v>0.99788767368959497</v>
      </c>
    </row>
    <row r="234" spans="1:14" x14ac:dyDescent="0.3">
      <c r="A234" t="s">
        <v>24</v>
      </c>
      <c r="B234" t="s">
        <v>25</v>
      </c>
      <c r="C234" t="s">
        <v>26</v>
      </c>
      <c r="D234">
        <v>448494</v>
      </c>
      <c r="E234">
        <v>39.99</v>
      </c>
      <c r="F234">
        <v>-82.88</v>
      </c>
      <c r="G234">
        <v>2023</v>
      </c>
      <c r="H234">
        <v>20</v>
      </c>
      <c r="I234" t="s">
        <v>16</v>
      </c>
      <c r="J234">
        <v>1285.03180272078</v>
      </c>
      <c r="K234">
        <v>8039.4452499100098</v>
      </c>
      <c r="L234">
        <v>-7909.8239674906499</v>
      </c>
      <c r="M234">
        <v>541.58370683819896</v>
      </c>
      <c r="N234">
        <f t="shared" ref="N234:N241" si="111">J234/J234</f>
        <v>1</v>
      </c>
    </row>
    <row r="235" spans="1:14" x14ac:dyDescent="0.3">
      <c r="A235" t="s">
        <v>24</v>
      </c>
      <c r="B235" t="s">
        <v>25</v>
      </c>
      <c r="C235" t="s">
        <v>26</v>
      </c>
      <c r="D235">
        <v>448494</v>
      </c>
      <c r="E235">
        <v>39.99</v>
      </c>
      <c r="F235">
        <v>-82.88</v>
      </c>
      <c r="G235">
        <v>2023</v>
      </c>
      <c r="H235">
        <v>20</v>
      </c>
      <c r="I235" t="s">
        <v>17</v>
      </c>
      <c r="J235">
        <v>1307.0761982653</v>
      </c>
      <c r="K235">
        <v>8198.8655614475902</v>
      </c>
      <c r="L235">
        <v>-7645.6298519463098</v>
      </c>
      <c r="M235">
        <v>519.539311293678</v>
      </c>
      <c r="N235">
        <f t="shared" si="111"/>
        <v>1</v>
      </c>
    </row>
    <row r="236" spans="1:14" x14ac:dyDescent="0.3">
      <c r="A236" t="s">
        <v>24</v>
      </c>
      <c r="B236" t="s">
        <v>25</v>
      </c>
      <c r="C236" t="s">
        <v>26</v>
      </c>
      <c r="D236">
        <v>448494</v>
      </c>
      <c r="E236">
        <v>39.99</v>
      </c>
      <c r="F236">
        <v>-82.88</v>
      </c>
      <c r="G236">
        <v>2023</v>
      </c>
      <c r="H236">
        <v>40</v>
      </c>
      <c r="I236" t="s">
        <v>16</v>
      </c>
      <c r="J236">
        <v>1285.1804766744599</v>
      </c>
      <c r="K236">
        <v>8043.3810414257496</v>
      </c>
      <c r="L236">
        <v>-7898.8728925941996</v>
      </c>
      <c r="M236">
        <v>541.43503288452496</v>
      </c>
      <c r="N236">
        <f t="shared" ref="N236:N237" si="112">J236/J234</f>
        <v>1.0001156967114473</v>
      </c>
    </row>
    <row r="237" spans="1:14" x14ac:dyDescent="0.3">
      <c r="A237" t="s">
        <v>24</v>
      </c>
      <c r="B237" t="s">
        <v>25</v>
      </c>
      <c r="C237" t="s">
        <v>26</v>
      </c>
      <c r="D237">
        <v>448494</v>
      </c>
      <c r="E237">
        <v>39.99</v>
      </c>
      <c r="F237">
        <v>-82.88</v>
      </c>
      <c r="G237">
        <v>2023</v>
      </c>
      <c r="H237">
        <v>40</v>
      </c>
      <c r="I237" t="s">
        <v>17</v>
      </c>
      <c r="J237">
        <v>1307.7246506623601</v>
      </c>
      <c r="K237">
        <v>8203.8568321368493</v>
      </c>
      <c r="L237">
        <v>-7637.6498775758</v>
      </c>
      <c r="M237">
        <v>518.89085889661999</v>
      </c>
      <c r="N237">
        <f t="shared" si="112"/>
        <v>1.0004961091005411</v>
      </c>
    </row>
    <row r="238" spans="1:14" x14ac:dyDescent="0.3">
      <c r="A238" t="s">
        <v>24</v>
      </c>
      <c r="B238" t="s">
        <v>25</v>
      </c>
      <c r="C238" t="s">
        <v>26</v>
      </c>
      <c r="D238">
        <v>448494</v>
      </c>
      <c r="E238">
        <v>39.99</v>
      </c>
      <c r="F238">
        <v>-82.88</v>
      </c>
      <c r="G238">
        <v>2023</v>
      </c>
      <c r="H238">
        <v>60</v>
      </c>
      <c r="I238" t="s">
        <v>16</v>
      </c>
      <c r="J238">
        <v>1285.8995854862401</v>
      </c>
      <c r="K238">
        <v>8046.9683367120897</v>
      </c>
      <c r="L238">
        <v>-7889.7122667327603</v>
      </c>
      <c r="M238">
        <v>540.71592407273795</v>
      </c>
      <c r="N238">
        <f t="shared" ref="N238:N239" si="113">J238/J234</f>
        <v>1.000675300614057</v>
      </c>
    </row>
    <row r="239" spans="1:14" x14ac:dyDescent="0.3">
      <c r="A239" t="s">
        <v>24</v>
      </c>
      <c r="B239" t="s">
        <v>25</v>
      </c>
      <c r="C239" t="s">
        <v>26</v>
      </c>
      <c r="D239">
        <v>448494</v>
      </c>
      <c r="E239">
        <v>39.99</v>
      </c>
      <c r="F239">
        <v>-82.88</v>
      </c>
      <c r="G239">
        <v>2023</v>
      </c>
      <c r="H239">
        <v>60</v>
      </c>
      <c r="I239" t="s">
        <v>17</v>
      </c>
      <c r="J239">
        <v>1307.70649650054</v>
      </c>
      <c r="K239">
        <v>8204.3741513867899</v>
      </c>
      <c r="L239">
        <v>-7629.2814237356097</v>
      </c>
      <c r="M239">
        <v>518.90901305843897</v>
      </c>
      <c r="N239">
        <f t="shared" si="113"/>
        <v>1.0004822199624448</v>
      </c>
    </row>
    <row r="240" spans="1:14" x14ac:dyDescent="0.3">
      <c r="A240" t="s">
        <v>24</v>
      </c>
      <c r="B240" t="s">
        <v>25</v>
      </c>
      <c r="C240" t="s">
        <v>26</v>
      </c>
      <c r="D240">
        <v>448494</v>
      </c>
      <c r="E240">
        <v>39.99</v>
      </c>
      <c r="F240">
        <v>-82.88</v>
      </c>
      <c r="G240">
        <v>2023</v>
      </c>
      <c r="H240">
        <v>80</v>
      </c>
      <c r="I240" t="s">
        <v>16</v>
      </c>
      <c r="J240">
        <v>1286.21428247313</v>
      </c>
      <c r="K240">
        <v>8054.74631655759</v>
      </c>
      <c r="L240">
        <v>-7883.5271661461402</v>
      </c>
      <c r="M240">
        <v>540.40122708585204</v>
      </c>
      <c r="N240">
        <f t="shared" ref="N240:N241" si="114">J240/J234</f>
        <v>1.0009201949320214</v>
      </c>
    </row>
    <row r="241" spans="1:14" x14ac:dyDescent="0.3">
      <c r="A241" t="s">
        <v>24</v>
      </c>
      <c r="B241" t="s">
        <v>25</v>
      </c>
      <c r="C241" t="s">
        <v>26</v>
      </c>
      <c r="D241">
        <v>448494</v>
      </c>
      <c r="E241">
        <v>39.99</v>
      </c>
      <c r="F241">
        <v>-82.88</v>
      </c>
      <c r="G241">
        <v>2023</v>
      </c>
      <c r="H241">
        <v>80</v>
      </c>
      <c r="I241" t="s">
        <v>17</v>
      </c>
      <c r="J241">
        <v>1308.19584258643</v>
      </c>
      <c r="K241">
        <v>8211.4518919930197</v>
      </c>
      <c r="L241">
        <v>-7623.0650352566799</v>
      </c>
      <c r="M241">
        <v>518.41966697255202</v>
      </c>
      <c r="N241">
        <f t="shared" si="114"/>
        <v>1.0008566021802063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battwatts_sensitivity_outputs_r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Mirletz, Brian</cp:lastModifiedBy>
  <dcterms:created xsi:type="dcterms:W3CDTF">2025-12-26T20:12:03Z</dcterms:created>
  <dcterms:modified xsi:type="dcterms:W3CDTF">2025-12-27T01:38:24Z</dcterms:modified>
</cp:coreProperties>
</file>