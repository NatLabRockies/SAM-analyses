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irletz\source\repos\sam_dev\SAM-analyses\2025\battwatts_sensitivity\"/>
    </mc:Choice>
  </mc:AlternateContent>
  <xr:revisionPtr revIDLastSave="0" documentId="13_ncr:1_{71237C5D-66A8-4B58-9809-DF62545B4FC0}" xr6:coauthVersionLast="47" xr6:coauthVersionMax="47" xr10:uidLastSave="{00000000-0000-0000-0000-000000000000}"/>
  <bookViews>
    <workbookView xWindow="-108" yWindow="-108" windowWidth="23256" windowHeight="12456" activeTab="3" xr2:uid="{2B297963-DBE3-4FED-9482-6C6DCDE2E3FF}"/>
  </bookViews>
  <sheets>
    <sheet name="Analysis" sheetId="3" r:id="rId1"/>
    <sheet name="Analysis-TMY only" sheetId="5" r:id="rId2"/>
    <sheet name="Analysis-AMY only" sheetId="6" r:id="rId3"/>
    <sheet name="Graphics" sheetId="4" r:id="rId4"/>
    <sheet name="pv_only" sheetId="1" r:id="rId5"/>
    <sheet name="pv_plus_batt" sheetId="2" r:id="rId6"/>
  </sheets>
  <definedNames>
    <definedName name="_xlnm._FilterDatabase" localSheetId="0" hidden="1">Analysis!$A$1:$M$170</definedName>
    <definedName name="_xlnm._FilterDatabase" localSheetId="4" hidden="1">pv_only!$A$1:$M$145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7" i="4" l="1"/>
  <c r="F96" i="4"/>
  <c r="F91" i="4"/>
  <c r="F90" i="4"/>
  <c r="F89" i="4"/>
  <c r="F88" i="4"/>
  <c r="F87" i="4"/>
  <c r="F86" i="4"/>
  <c r="F94" i="4" s="1" a="1"/>
  <c r="F94" i="4" s="1"/>
  <c r="F84" i="4"/>
  <c r="F83" i="4"/>
  <c r="F82" i="4"/>
  <c r="F81" i="4"/>
  <c r="F80" i="4"/>
  <c r="F79" i="4"/>
  <c r="F60" i="4"/>
  <c r="P37" i="4" a="1"/>
  <c r="P37" i="4" s="1"/>
  <c r="O37" i="4" a="1"/>
  <c r="O37" i="4" s="1"/>
  <c r="N37" i="4" a="1"/>
  <c r="N37" i="4" s="1"/>
  <c r="P36" i="4"/>
  <c r="O36" i="4"/>
  <c r="N36" i="4"/>
  <c r="P35" i="4" a="1"/>
  <c r="P35" i="4" s="1"/>
  <c r="O35" i="4"/>
  <c r="O35" i="4" a="1"/>
  <c r="N35" i="4" a="1"/>
  <c r="N35" i="4" s="1"/>
  <c r="O34" i="4"/>
  <c r="O33" i="4"/>
  <c r="O32" i="4"/>
  <c r="O31" i="4"/>
  <c r="O30" i="4"/>
  <c r="O29" i="4"/>
  <c r="P34" i="4"/>
  <c r="N34" i="4"/>
  <c r="P33" i="4"/>
  <c r="N33" i="4"/>
  <c r="P32" i="4"/>
  <c r="N32" i="4"/>
  <c r="P31" i="4"/>
  <c r="N31" i="4"/>
  <c r="P30" i="4"/>
  <c r="N30" i="4"/>
  <c r="P29" i="4"/>
  <c r="N29" i="4"/>
  <c r="P27" i="4"/>
  <c r="P26" i="4"/>
  <c r="P25" i="4"/>
  <c r="P24" i="4"/>
  <c r="P23" i="4"/>
  <c r="P22" i="4"/>
  <c r="P21" i="4"/>
  <c r="O27" i="4"/>
  <c r="O26" i="4"/>
  <c r="O25" i="4"/>
  <c r="O24" i="4"/>
  <c r="O23" i="4"/>
  <c r="O22" i="4"/>
  <c r="N27" i="4"/>
  <c r="N26" i="4"/>
  <c r="N25" i="4"/>
  <c r="N24" i="4"/>
  <c r="N23" i="4"/>
  <c r="N22" i="4"/>
  <c r="N21" i="4"/>
  <c r="O18" i="4" a="1"/>
  <c r="O18" i="4" s="1"/>
  <c r="O17" i="4"/>
  <c r="O16" i="4"/>
  <c r="O16" i="4" a="1"/>
  <c r="O15" i="4"/>
  <c r="O14" i="4"/>
  <c r="O13" i="4"/>
  <c r="O12" i="4"/>
  <c r="O11" i="4"/>
  <c r="O10" i="4"/>
  <c r="N10" i="4"/>
  <c r="P10" i="4"/>
  <c r="N11" i="4"/>
  <c r="P11" i="4"/>
  <c r="P16" i="4" s="1" a="1"/>
  <c r="P16" i="4" s="1"/>
  <c r="N12" i="4"/>
  <c r="P12" i="4"/>
  <c r="P17" i="4" s="1"/>
  <c r="N13" i="4"/>
  <c r="P13" i="4"/>
  <c r="N14" i="4"/>
  <c r="N17" i="4" s="1"/>
  <c r="P14" i="4"/>
  <c r="N15" i="4"/>
  <c r="P15" i="4"/>
  <c r="N18" i="4" a="1"/>
  <c r="N18" i="4"/>
  <c r="P8" i="4"/>
  <c r="P7" i="4"/>
  <c r="P6" i="4"/>
  <c r="P5" i="4"/>
  <c r="P4" i="4"/>
  <c r="P3" i="4"/>
  <c r="P2" i="4"/>
  <c r="O8" i="4"/>
  <c r="O7" i="4"/>
  <c r="O6" i="4"/>
  <c r="O5" i="4"/>
  <c r="O4" i="4"/>
  <c r="O3" i="4"/>
  <c r="N8" i="4"/>
  <c r="N7" i="4"/>
  <c r="N6" i="4"/>
  <c r="N5" i="4"/>
  <c r="N4" i="4"/>
  <c r="N3" i="4"/>
  <c r="N2" i="4"/>
  <c r="F92" i="4" l="1" a="1"/>
  <c r="F92" i="4" s="1"/>
  <c r="F93" i="4"/>
  <c r="N16" i="4" a="1"/>
  <c r="N16" i="4" s="1"/>
  <c r="P18" i="4" a="1"/>
  <c r="P18" i="4" s="1"/>
  <c r="D97" i="4" l="1"/>
  <c r="E97" i="4"/>
  <c r="C97" i="4"/>
  <c r="B97" i="4"/>
  <c r="E96" i="4"/>
  <c r="D96" i="4"/>
  <c r="C96" i="4"/>
  <c r="B96" i="4"/>
  <c r="E94" i="4" a="1"/>
  <c r="E94" i="4" s="1"/>
  <c r="D94" i="4" a="1"/>
  <c r="D94" i="4" s="1"/>
  <c r="C94" i="4" a="1"/>
  <c r="C94" i="4" s="1"/>
  <c r="B94" i="4"/>
  <c r="B94" i="4" a="1"/>
  <c r="E93" i="4"/>
  <c r="D93" i="4"/>
  <c r="C93" i="4"/>
  <c r="B93" i="4"/>
  <c r="E92" i="4" a="1"/>
  <c r="E92" i="4" s="1"/>
  <c r="D92" i="4" a="1"/>
  <c r="D92" i="4" s="1"/>
  <c r="C92" i="4" a="1"/>
  <c r="C92" i="4" s="1"/>
  <c r="B92" i="4" a="1"/>
  <c r="B92" i="4" s="1"/>
  <c r="B87" i="4"/>
  <c r="C87" i="4"/>
  <c r="D87" i="4"/>
  <c r="E87" i="4"/>
  <c r="B88" i="4"/>
  <c r="C88" i="4"/>
  <c r="D88" i="4"/>
  <c r="E88" i="4"/>
  <c r="B89" i="4"/>
  <c r="C89" i="4"/>
  <c r="D89" i="4"/>
  <c r="E89" i="4"/>
  <c r="B90" i="4"/>
  <c r="C90" i="4"/>
  <c r="D90" i="4"/>
  <c r="E90" i="4"/>
  <c r="B91" i="4"/>
  <c r="C91" i="4"/>
  <c r="D91" i="4"/>
  <c r="E91" i="4"/>
  <c r="E86" i="4"/>
  <c r="C86" i="4"/>
  <c r="A87" i="4"/>
  <c r="A88" i="4" s="1"/>
  <c r="A89" i="4" s="1"/>
  <c r="A90" i="4" s="1"/>
  <c r="A91" i="4" s="1"/>
  <c r="D86" i="4"/>
  <c r="B86" i="4"/>
  <c r="E79" i="4"/>
  <c r="E84" i="4"/>
  <c r="D84" i="4"/>
  <c r="C84" i="4"/>
  <c r="B84" i="4"/>
  <c r="E83" i="4"/>
  <c r="D83" i="4"/>
  <c r="C83" i="4"/>
  <c r="B83" i="4"/>
  <c r="E82" i="4"/>
  <c r="D82" i="4"/>
  <c r="C82" i="4"/>
  <c r="B82" i="4"/>
  <c r="E81" i="4"/>
  <c r="D81" i="4"/>
  <c r="C81" i="4"/>
  <c r="B81" i="4"/>
  <c r="E80" i="4"/>
  <c r="D80" i="4"/>
  <c r="C80" i="4"/>
  <c r="B80" i="4"/>
  <c r="A80" i="4"/>
  <c r="A81" i="4" s="1"/>
  <c r="A82" i="4" s="1"/>
  <c r="A83" i="4" s="1"/>
  <c r="A84" i="4" s="1"/>
  <c r="D79" i="4"/>
  <c r="C79" i="4"/>
  <c r="B79" i="4"/>
  <c r="E60" i="4"/>
  <c r="D60" i="4"/>
  <c r="C60" i="4"/>
  <c r="B60" i="4"/>
  <c r="P145" i="3"/>
  <c r="P143" i="3"/>
  <c r="P141" i="3"/>
  <c r="P139" i="3"/>
  <c r="P137" i="3"/>
  <c r="P135" i="3"/>
  <c r="P133" i="3"/>
  <c r="P131" i="3"/>
  <c r="P129" i="3"/>
  <c r="P127" i="3"/>
  <c r="P125" i="3"/>
  <c r="P123" i="3"/>
  <c r="P121" i="3"/>
  <c r="P119" i="3"/>
  <c r="P117" i="3"/>
  <c r="P115" i="3"/>
  <c r="P113" i="3"/>
  <c r="P111" i="3"/>
  <c r="P109" i="3"/>
  <c r="P107" i="3"/>
  <c r="P105" i="3"/>
  <c r="P103" i="3"/>
  <c r="P101" i="3"/>
  <c r="P99" i="3"/>
  <c r="P97" i="3"/>
  <c r="P95" i="3"/>
  <c r="P93" i="3"/>
  <c r="P91" i="3"/>
  <c r="P89" i="3"/>
  <c r="P87" i="3"/>
  <c r="P85" i="3"/>
  <c r="P83" i="3"/>
  <c r="P81" i="3"/>
  <c r="P79" i="3"/>
  <c r="P77" i="3"/>
  <c r="P75" i="3"/>
  <c r="P73" i="3"/>
  <c r="P71" i="3"/>
  <c r="P69" i="3"/>
  <c r="P67" i="3"/>
  <c r="P65" i="3"/>
  <c r="P63" i="3"/>
  <c r="P61" i="3"/>
  <c r="P59" i="3"/>
  <c r="P57" i="3"/>
  <c r="P55" i="3"/>
  <c r="P53" i="3"/>
  <c r="P51" i="3"/>
  <c r="P49" i="3"/>
  <c r="P47" i="3"/>
  <c r="P45" i="3"/>
  <c r="P43" i="3"/>
  <c r="P41" i="3"/>
  <c r="P39" i="3"/>
  <c r="P37" i="3"/>
  <c r="P35" i="3"/>
  <c r="P33" i="3"/>
  <c r="P31" i="3"/>
  <c r="P29" i="3"/>
  <c r="P27" i="3"/>
  <c r="P25" i="3"/>
  <c r="P23" i="3"/>
  <c r="P21" i="3"/>
  <c r="P19" i="3"/>
  <c r="P17" i="3"/>
  <c r="P15" i="3"/>
  <c r="P13" i="3"/>
  <c r="P11" i="3"/>
  <c r="P9" i="3"/>
  <c r="P7" i="3"/>
  <c r="P5" i="3"/>
  <c r="P3" i="3"/>
  <c r="M26" i="4"/>
  <c r="M33" i="4" s="1"/>
  <c r="L26" i="4"/>
  <c r="L33" i="4" s="1"/>
  <c r="K26" i="4"/>
  <c r="K33" i="4" s="1"/>
  <c r="H26" i="4"/>
  <c r="H33" i="4" s="1"/>
  <c r="M24" i="4"/>
  <c r="M31" i="4" s="1"/>
  <c r="L24" i="4"/>
  <c r="L31" i="4" s="1"/>
  <c r="K24" i="4"/>
  <c r="K31" i="4" s="1"/>
  <c r="J24" i="4"/>
  <c r="J31" i="4" s="1"/>
  <c r="H24" i="4"/>
  <c r="H31" i="4" s="1"/>
  <c r="M22" i="4"/>
  <c r="M29" i="4" s="1"/>
  <c r="J15" i="4"/>
  <c r="M15" i="4"/>
  <c r="L15" i="4"/>
  <c r="K15" i="4"/>
  <c r="I15" i="4"/>
  <c r="G15" i="4"/>
  <c r="G12" i="4"/>
  <c r="M8" i="4"/>
  <c r="L8" i="4"/>
  <c r="K8" i="4"/>
  <c r="J8" i="4"/>
  <c r="I8" i="4"/>
  <c r="H8" i="4"/>
  <c r="H15" i="4" s="1"/>
  <c r="G8" i="4"/>
  <c r="M7" i="4"/>
  <c r="M14" i="4" s="1"/>
  <c r="G7" i="4"/>
  <c r="G14" i="4" s="1"/>
  <c r="M6" i="4"/>
  <c r="M13" i="4" s="1"/>
  <c r="L6" i="4"/>
  <c r="L13" i="4" s="1"/>
  <c r="K6" i="4"/>
  <c r="K13" i="4" s="1"/>
  <c r="J6" i="4"/>
  <c r="J13" i="4" s="1"/>
  <c r="I6" i="4"/>
  <c r="I13" i="4" s="1"/>
  <c r="H6" i="4"/>
  <c r="H13" i="4" s="1"/>
  <c r="G6" i="4"/>
  <c r="G13" i="4" s="1"/>
  <c r="M5" i="4"/>
  <c r="M12" i="4" s="1"/>
  <c r="L5" i="4"/>
  <c r="L12" i="4" s="1"/>
  <c r="K5" i="4"/>
  <c r="K12" i="4" s="1"/>
  <c r="J5" i="4"/>
  <c r="J12" i="4" s="1"/>
  <c r="I5" i="4"/>
  <c r="I12" i="4" s="1"/>
  <c r="G5" i="4"/>
  <c r="G4" i="4"/>
  <c r="G11" i="4" s="1"/>
  <c r="M3" i="4"/>
  <c r="M10" i="4" s="1"/>
  <c r="J3" i="4"/>
  <c r="J10" i="4" s="1"/>
  <c r="G3" i="4"/>
  <c r="G10" i="4" s="1"/>
  <c r="D8" i="4"/>
  <c r="D15" i="4" s="1"/>
  <c r="D7" i="4"/>
  <c r="D14" i="4" s="1"/>
  <c r="D6" i="4"/>
  <c r="D13" i="4" s="1"/>
  <c r="D5" i="4"/>
  <c r="D12" i="4" s="1"/>
  <c r="D4" i="4"/>
  <c r="D11" i="4" s="1"/>
  <c r="D3" i="4"/>
  <c r="D10" i="4" s="1"/>
  <c r="H21" i="4"/>
  <c r="I24" i="4" s="1"/>
  <c r="I31" i="4" s="1"/>
  <c r="A70" i="4"/>
  <c r="A71" i="4" s="1"/>
  <c r="A72" i="4" s="1"/>
  <c r="A73" i="4" s="1"/>
  <c r="A74" i="4" s="1"/>
  <c r="A49" i="4"/>
  <c r="A50" i="4" s="1"/>
  <c r="A51" i="4" s="1"/>
  <c r="A52" i="4" s="1"/>
  <c r="A53" i="4" s="1"/>
  <c r="E61" i="4"/>
  <c r="E67" i="4" s="1"/>
  <c r="D61" i="4"/>
  <c r="D67" i="4" s="1"/>
  <c r="D74" i="4" s="1"/>
  <c r="C61" i="4"/>
  <c r="C67" i="4" s="1"/>
  <c r="B61" i="4"/>
  <c r="B62" i="4" s="1"/>
  <c r="B69" i="4" s="1"/>
  <c r="E40" i="4"/>
  <c r="E46" i="4" s="1"/>
  <c r="D40" i="4"/>
  <c r="D44" i="4" s="1"/>
  <c r="D51" i="4" s="1"/>
  <c r="C40" i="4"/>
  <c r="C46" i="4" s="1"/>
  <c r="B40" i="4"/>
  <c r="B44" i="4" s="1"/>
  <c r="B51" i="4" s="1"/>
  <c r="A63" i="4"/>
  <c r="A64" i="4" s="1"/>
  <c r="A65" i="4" s="1"/>
  <c r="A66" i="4" s="1"/>
  <c r="A67" i="4" s="1"/>
  <c r="A42" i="4"/>
  <c r="A43" i="4" s="1"/>
  <c r="A44" i="4" s="1"/>
  <c r="A45" i="4" s="1"/>
  <c r="A46" i="4" s="1"/>
  <c r="H2" i="4"/>
  <c r="H5" i="4" s="1"/>
  <c r="H12" i="4" s="1"/>
  <c r="A30" i="4"/>
  <c r="A31" i="4" s="1"/>
  <c r="A32" i="4" s="1"/>
  <c r="A33" i="4" s="1"/>
  <c r="A34" i="4" s="1"/>
  <c r="M21" i="4"/>
  <c r="M27" i="4" s="1"/>
  <c r="M34" i="4" s="1"/>
  <c r="K21" i="4"/>
  <c r="K27" i="4" s="1"/>
  <c r="K34" i="4" s="1"/>
  <c r="J21" i="4"/>
  <c r="J27" i="4" s="1"/>
  <c r="J34" i="4" s="1"/>
  <c r="G21" i="4"/>
  <c r="G26" i="4" s="1"/>
  <c r="G33" i="4" s="1"/>
  <c r="E21" i="4"/>
  <c r="F26" i="4" s="1"/>
  <c r="F33" i="4" s="1"/>
  <c r="D21" i="4"/>
  <c r="D22" i="4" s="1"/>
  <c r="D29" i="4" s="1"/>
  <c r="B21" i="4"/>
  <c r="B23" i="4" s="1"/>
  <c r="B30" i="4" s="1"/>
  <c r="A23" i="4"/>
  <c r="A24" i="4" s="1"/>
  <c r="A25" i="4" s="1"/>
  <c r="A26" i="4" s="1"/>
  <c r="A27" i="4" s="1"/>
  <c r="A11" i="4"/>
  <c r="A12" i="4" s="1"/>
  <c r="A13" i="4" s="1"/>
  <c r="A14" i="4" s="1"/>
  <c r="A15" i="4" s="1"/>
  <c r="G2" i="4"/>
  <c r="E2" i="4"/>
  <c r="E5" i="4" s="1"/>
  <c r="E12" i="4" s="1"/>
  <c r="M2" i="4"/>
  <c r="M4" i="4" s="1"/>
  <c r="M11" i="4" s="1"/>
  <c r="K2" i="4"/>
  <c r="L7" i="4" s="1"/>
  <c r="L14" i="4" s="1"/>
  <c r="J2" i="4"/>
  <c r="J7" i="4" s="1"/>
  <c r="J14" i="4" s="1"/>
  <c r="D2" i="4"/>
  <c r="B2" i="4"/>
  <c r="B6" i="4" s="1"/>
  <c r="B13" i="4" s="1"/>
  <c r="A4" i="4"/>
  <c r="A5" i="4" s="1"/>
  <c r="A6" i="4" s="1"/>
  <c r="A7" i="4" s="1"/>
  <c r="A8" i="4" s="1"/>
  <c r="M36" i="4" l="1"/>
  <c r="M37" i="4" a="1"/>
  <c r="M37" i="4" s="1"/>
  <c r="D16" i="4" a="1"/>
  <c r="D16" i="4" s="1"/>
  <c r="D17" i="4"/>
  <c r="D18" i="4" a="1"/>
  <c r="D18" i="4" s="1"/>
  <c r="G17" i="4"/>
  <c r="G16" i="4" a="1"/>
  <c r="G16" i="4" s="1"/>
  <c r="G18" i="4" a="1"/>
  <c r="G18" i="4" s="1"/>
  <c r="J18" i="4" a="1"/>
  <c r="J18" i="4" s="1"/>
  <c r="J17" i="4"/>
  <c r="J16" i="4" a="1"/>
  <c r="J16" i="4" s="1"/>
  <c r="M16" i="4" a="1"/>
  <c r="M16" i="4" s="1"/>
  <c r="M18" i="4" a="1"/>
  <c r="M18" i="4" s="1"/>
  <c r="M17" i="4"/>
  <c r="E23" i="4"/>
  <c r="E30" i="4" s="1"/>
  <c r="F25" i="4"/>
  <c r="F32" i="4" s="1"/>
  <c r="G23" i="4"/>
  <c r="G30" i="4" s="1"/>
  <c r="H27" i="4"/>
  <c r="H34" i="4" s="1"/>
  <c r="I23" i="4"/>
  <c r="I30" i="4" s="1"/>
  <c r="I27" i="4"/>
  <c r="I34" i="4" s="1"/>
  <c r="H4" i="4"/>
  <c r="H11" i="4" s="1"/>
  <c r="J23" i="4"/>
  <c r="J30" i="4" s="1"/>
  <c r="H7" i="4"/>
  <c r="H14" i="4" s="1"/>
  <c r="K23" i="4"/>
  <c r="K30" i="4" s="1"/>
  <c r="K25" i="4"/>
  <c r="K32" i="4" s="1"/>
  <c r="J4" i="4"/>
  <c r="J11" i="4" s="1"/>
  <c r="I7" i="4"/>
  <c r="I14" i="4" s="1"/>
  <c r="L23" i="4"/>
  <c r="L30" i="4" s="1"/>
  <c r="L25" i="4"/>
  <c r="L32" i="4" s="1"/>
  <c r="L27" i="4"/>
  <c r="L34" i="4" s="1"/>
  <c r="I26" i="4"/>
  <c r="I33" i="4" s="1"/>
  <c r="J26" i="4"/>
  <c r="J33" i="4" s="1"/>
  <c r="G22" i="4"/>
  <c r="G29" i="4" s="1"/>
  <c r="D23" i="4"/>
  <c r="D30" i="4" s="1"/>
  <c r="D37" i="4" s="1" a="1"/>
  <c r="D37" i="4" s="1"/>
  <c r="G27" i="4"/>
  <c r="G34" i="4" s="1"/>
  <c r="H23" i="4"/>
  <c r="H30" i="4" s="1"/>
  <c r="K4" i="4"/>
  <c r="K11" i="4" s="1"/>
  <c r="M23" i="4"/>
  <c r="M30" i="4" s="1"/>
  <c r="M35" i="4" s="1" a="1"/>
  <c r="M35" i="4" s="1"/>
  <c r="M25" i="4"/>
  <c r="M32" i="4" s="1"/>
  <c r="D27" i="4"/>
  <c r="D34" i="4" s="1"/>
  <c r="E27" i="4"/>
  <c r="E34" i="4" s="1"/>
  <c r="F23" i="4"/>
  <c r="F30" i="4" s="1"/>
  <c r="G25" i="4"/>
  <c r="G32" i="4" s="1"/>
  <c r="I25" i="4"/>
  <c r="I32" i="4" s="1"/>
  <c r="J25" i="4"/>
  <c r="J32" i="4" s="1"/>
  <c r="I4" i="4"/>
  <c r="I11" i="4" s="1"/>
  <c r="L4" i="4"/>
  <c r="L11" i="4" s="1"/>
  <c r="K7" i="4"/>
  <c r="K14" i="4" s="1"/>
  <c r="D24" i="4"/>
  <c r="D31" i="4" s="1"/>
  <c r="D26" i="4"/>
  <c r="D33" i="4" s="1"/>
  <c r="J22" i="4"/>
  <c r="J29" i="4" s="1"/>
  <c r="D25" i="4"/>
  <c r="D32" i="4" s="1"/>
  <c r="E25" i="4"/>
  <c r="E32" i="4" s="1"/>
  <c r="F27" i="4"/>
  <c r="F34" i="4" s="1"/>
  <c r="H25" i="4"/>
  <c r="H32" i="4" s="1"/>
  <c r="E24" i="4"/>
  <c r="E31" i="4" s="1"/>
  <c r="E26" i="4"/>
  <c r="E33" i="4" s="1"/>
  <c r="F24" i="4"/>
  <c r="F31" i="4" s="1"/>
  <c r="G24" i="4"/>
  <c r="G31" i="4" s="1"/>
  <c r="C53" i="4"/>
  <c r="E53" i="4"/>
  <c r="C74" i="4"/>
  <c r="E74" i="4"/>
  <c r="D42" i="4"/>
  <c r="D49" i="4" s="1"/>
  <c r="D46" i="4"/>
  <c r="D53" i="4" s="1"/>
  <c r="C63" i="4"/>
  <c r="C70" i="4" s="1"/>
  <c r="D63" i="4"/>
  <c r="D70" i="4" s="1"/>
  <c r="E63" i="4"/>
  <c r="E70" i="4" s="1"/>
  <c r="B64" i="4"/>
  <c r="B71" i="4" s="1"/>
  <c r="B7" i="4"/>
  <c r="B14" i="4" s="1"/>
  <c r="C5" i="4"/>
  <c r="C12" i="4" s="1"/>
  <c r="C64" i="4"/>
  <c r="C71" i="4" s="1"/>
  <c r="B8" i="4"/>
  <c r="B15" i="4" s="1"/>
  <c r="C8" i="4"/>
  <c r="C15" i="4" s="1"/>
  <c r="D64" i="4"/>
  <c r="D71" i="4" s="1"/>
  <c r="B63" i="4"/>
  <c r="B70" i="4" s="1"/>
  <c r="E64" i="4"/>
  <c r="E71" i="4" s="1"/>
  <c r="E65" i="4"/>
  <c r="E72" i="4" s="1"/>
  <c r="E42" i="4"/>
  <c r="E49" i="4" s="1"/>
  <c r="E43" i="4"/>
  <c r="E50" i="4" s="1"/>
  <c r="B65" i="4"/>
  <c r="B72" i="4" s="1"/>
  <c r="E44" i="4"/>
  <c r="E51" i="4" s="1"/>
  <c r="C65" i="4"/>
  <c r="C72" i="4" s="1"/>
  <c r="E45" i="4"/>
  <c r="E52" i="4" s="1"/>
  <c r="D65" i="4"/>
  <c r="D72" i="4" s="1"/>
  <c r="D45" i="4"/>
  <c r="D52" i="4" s="1"/>
  <c r="E66" i="4"/>
  <c r="E73" i="4" s="1"/>
  <c r="B67" i="4"/>
  <c r="B74" i="4" s="1"/>
  <c r="D43" i="4"/>
  <c r="D50" i="4" s="1"/>
  <c r="B66" i="4"/>
  <c r="B73" i="4" s="1"/>
  <c r="B42" i="4"/>
  <c r="B49" i="4" s="1"/>
  <c r="C66" i="4"/>
  <c r="C73" i="4" s="1"/>
  <c r="B45" i="4"/>
  <c r="B52" i="4" s="1"/>
  <c r="B46" i="4"/>
  <c r="B53" i="4" s="1"/>
  <c r="C62" i="4"/>
  <c r="C69" i="4" s="1"/>
  <c r="E41" i="4"/>
  <c r="E48" i="4" s="1"/>
  <c r="B41" i="4"/>
  <c r="B48" i="4" s="1"/>
  <c r="B43" i="4"/>
  <c r="B50" i="4" s="1"/>
  <c r="D66" i="4"/>
  <c r="D73" i="4" s="1"/>
  <c r="D62" i="4"/>
  <c r="D69" i="4" s="1"/>
  <c r="B25" i="4"/>
  <c r="B32" i="4" s="1"/>
  <c r="D41" i="4"/>
  <c r="D48" i="4" s="1"/>
  <c r="E62" i="4"/>
  <c r="E69" i="4" s="1"/>
  <c r="C43" i="4"/>
  <c r="C50" i="4" s="1"/>
  <c r="C44" i="4"/>
  <c r="C51" i="4" s="1"/>
  <c r="C45" i="4"/>
  <c r="C52" i="4" s="1"/>
  <c r="C41" i="4"/>
  <c r="C48" i="4" s="1"/>
  <c r="C42" i="4"/>
  <c r="C49" i="4" s="1"/>
  <c r="F4" i="4"/>
  <c r="F11" i="4" s="1"/>
  <c r="F5" i="4"/>
  <c r="F12" i="4" s="1"/>
  <c r="F6" i="4"/>
  <c r="F13" i="4" s="1"/>
  <c r="F8" i="4"/>
  <c r="F15" i="4" s="1"/>
  <c r="F7" i="4"/>
  <c r="F14" i="4" s="1"/>
  <c r="L3" i="4"/>
  <c r="L10" i="4" s="1"/>
  <c r="B24" i="4"/>
  <c r="B31" i="4" s="1"/>
  <c r="I22" i="4"/>
  <c r="I29" i="4" s="1"/>
  <c r="C26" i="4"/>
  <c r="C33" i="4" s="1"/>
  <c r="C22" i="4"/>
  <c r="C29" i="4" s="1"/>
  <c r="C24" i="4"/>
  <c r="C31" i="4" s="1"/>
  <c r="C25" i="4"/>
  <c r="C32" i="4" s="1"/>
  <c r="I3" i="4"/>
  <c r="I10" i="4" s="1"/>
  <c r="F22" i="4"/>
  <c r="F29" i="4" s="1"/>
  <c r="C27" i="4"/>
  <c r="C34" i="4" s="1"/>
  <c r="B22" i="4"/>
  <c r="B29" i="4" s="1"/>
  <c r="B27" i="4"/>
  <c r="B34" i="4" s="1"/>
  <c r="C3" i="4"/>
  <c r="C10" i="4" s="1"/>
  <c r="L22" i="4"/>
  <c r="L29" i="4" s="1"/>
  <c r="E22" i="4"/>
  <c r="E29" i="4" s="1"/>
  <c r="C4" i="4"/>
  <c r="C11" i="4" s="1"/>
  <c r="C6" i="4"/>
  <c r="C13" i="4" s="1"/>
  <c r="C23" i="4"/>
  <c r="C30" i="4" s="1"/>
  <c r="B26" i="4"/>
  <c r="B33" i="4" s="1"/>
  <c r="H22" i="4"/>
  <c r="H29" i="4" s="1"/>
  <c r="K22" i="4"/>
  <c r="K29" i="4" s="1"/>
  <c r="C7" i="4"/>
  <c r="C14" i="4" s="1"/>
  <c r="F3" i="4"/>
  <c r="F10" i="4" s="1"/>
  <c r="E4" i="4"/>
  <c r="E11" i="4" s="1"/>
  <c r="B3" i="4"/>
  <c r="B10" i="4" s="1"/>
  <c r="E3" i="4"/>
  <c r="E10" i="4" s="1"/>
  <c r="E6" i="4"/>
  <c r="E13" i="4" s="1"/>
  <c r="K3" i="4"/>
  <c r="K10" i="4" s="1"/>
  <c r="E7" i="4"/>
  <c r="E14" i="4" s="1"/>
  <c r="B4" i="4"/>
  <c r="B11" i="4" s="1"/>
  <c r="E8" i="4"/>
  <c r="E15" i="4" s="1"/>
  <c r="B5" i="4"/>
  <c r="B12" i="4" s="1"/>
  <c r="H3" i="4"/>
  <c r="H10" i="4" s="1"/>
  <c r="J2" i="3" a="1"/>
  <c r="I2" i="3" a="1"/>
  <c r="K139" i="3" s="1"/>
  <c r="H170" i="3"/>
  <c r="G170" i="3"/>
  <c r="F170" i="3"/>
  <c r="E170" i="3"/>
  <c r="D170" i="3"/>
  <c r="C170" i="3"/>
  <c r="B170" i="3"/>
  <c r="A170" i="3"/>
  <c r="H169" i="3"/>
  <c r="G169" i="3"/>
  <c r="F169" i="3"/>
  <c r="E169" i="3"/>
  <c r="D169" i="3"/>
  <c r="C169" i="3"/>
  <c r="B169" i="3"/>
  <c r="A169" i="3"/>
  <c r="H168" i="3"/>
  <c r="G168" i="3"/>
  <c r="F168" i="3"/>
  <c r="E168" i="3"/>
  <c r="D168" i="3"/>
  <c r="C168" i="3"/>
  <c r="B168" i="3"/>
  <c r="A168" i="3"/>
  <c r="H167" i="3"/>
  <c r="G167" i="3"/>
  <c r="F167" i="3"/>
  <c r="E167" i="3"/>
  <c r="D167" i="3"/>
  <c r="C167" i="3"/>
  <c r="B167" i="3"/>
  <c r="A167" i="3"/>
  <c r="H166" i="3"/>
  <c r="G166" i="3"/>
  <c r="F166" i="3"/>
  <c r="E166" i="3"/>
  <c r="D166" i="3"/>
  <c r="C166" i="3"/>
  <c r="B166" i="3"/>
  <c r="A166" i="3"/>
  <c r="H165" i="3"/>
  <c r="G165" i="3"/>
  <c r="F165" i="3"/>
  <c r="E165" i="3"/>
  <c r="D165" i="3"/>
  <c r="C165" i="3"/>
  <c r="B165" i="3"/>
  <c r="A165" i="3"/>
  <c r="H164" i="3"/>
  <c r="G164" i="3"/>
  <c r="F164" i="3"/>
  <c r="E164" i="3"/>
  <c r="D164" i="3"/>
  <c r="C164" i="3"/>
  <c r="B164" i="3"/>
  <c r="A164" i="3"/>
  <c r="H163" i="3"/>
  <c r="G163" i="3"/>
  <c r="F163" i="3"/>
  <c r="E163" i="3"/>
  <c r="D163" i="3"/>
  <c r="C163" i="3"/>
  <c r="B163" i="3"/>
  <c r="A163" i="3"/>
  <c r="H162" i="3"/>
  <c r="G162" i="3"/>
  <c r="F162" i="3"/>
  <c r="E162" i="3"/>
  <c r="D162" i="3"/>
  <c r="C162" i="3"/>
  <c r="B162" i="3"/>
  <c r="A162" i="3"/>
  <c r="H161" i="3"/>
  <c r="G161" i="3"/>
  <c r="F161" i="3"/>
  <c r="E161" i="3"/>
  <c r="D161" i="3"/>
  <c r="C161" i="3"/>
  <c r="B161" i="3"/>
  <c r="A161" i="3"/>
  <c r="H160" i="3"/>
  <c r="G160" i="3"/>
  <c r="F160" i="3"/>
  <c r="E160" i="3"/>
  <c r="D160" i="3"/>
  <c r="C160" i="3"/>
  <c r="B160" i="3"/>
  <c r="A160" i="3"/>
  <c r="H159" i="3"/>
  <c r="G159" i="3"/>
  <c r="F159" i="3"/>
  <c r="E159" i="3"/>
  <c r="D159" i="3"/>
  <c r="C159" i="3"/>
  <c r="B159" i="3"/>
  <c r="A159" i="3"/>
  <c r="H158" i="3"/>
  <c r="G158" i="3"/>
  <c r="F158" i="3"/>
  <c r="E158" i="3"/>
  <c r="D158" i="3"/>
  <c r="C158" i="3"/>
  <c r="B158" i="3"/>
  <c r="A158" i="3"/>
  <c r="H157" i="3"/>
  <c r="G157" i="3"/>
  <c r="F157" i="3"/>
  <c r="E157" i="3"/>
  <c r="D157" i="3"/>
  <c r="C157" i="3"/>
  <c r="B157" i="3"/>
  <c r="A157" i="3"/>
  <c r="H156" i="3"/>
  <c r="G156" i="3"/>
  <c r="F156" i="3"/>
  <c r="E156" i="3"/>
  <c r="D156" i="3"/>
  <c r="C156" i="3"/>
  <c r="B156" i="3"/>
  <c r="A156" i="3"/>
  <c r="H155" i="3"/>
  <c r="G155" i="3"/>
  <c r="F155" i="3"/>
  <c r="E155" i="3"/>
  <c r="D155" i="3"/>
  <c r="C155" i="3"/>
  <c r="B155" i="3"/>
  <c r="A155" i="3"/>
  <c r="H154" i="3"/>
  <c r="G154" i="3"/>
  <c r="F154" i="3"/>
  <c r="E154" i="3"/>
  <c r="D154" i="3"/>
  <c r="C154" i="3"/>
  <c r="B154" i="3"/>
  <c r="A154" i="3"/>
  <c r="H153" i="3"/>
  <c r="G153" i="3"/>
  <c r="F153" i="3"/>
  <c r="E153" i="3"/>
  <c r="D153" i="3"/>
  <c r="C153" i="3"/>
  <c r="B153" i="3"/>
  <c r="A153" i="3"/>
  <c r="H152" i="3"/>
  <c r="G152" i="3"/>
  <c r="F152" i="3"/>
  <c r="E152" i="3"/>
  <c r="D152" i="3"/>
  <c r="C152" i="3"/>
  <c r="B152" i="3"/>
  <c r="A152" i="3"/>
  <c r="H151" i="3"/>
  <c r="G151" i="3"/>
  <c r="F151" i="3"/>
  <c r="E151" i="3"/>
  <c r="D151" i="3"/>
  <c r="C151" i="3"/>
  <c r="B151" i="3"/>
  <c r="A151" i="3"/>
  <c r="H150" i="3"/>
  <c r="G150" i="3"/>
  <c r="F150" i="3"/>
  <c r="E150" i="3"/>
  <c r="D150" i="3"/>
  <c r="C150" i="3"/>
  <c r="B150" i="3"/>
  <c r="A150" i="3"/>
  <c r="H149" i="3"/>
  <c r="G149" i="3"/>
  <c r="F149" i="3"/>
  <c r="E149" i="3"/>
  <c r="D149" i="3"/>
  <c r="C149" i="3"/>
  <c r="B149" i="3"/>
  <c r="A149" i="3"/>
  <c r="H148" i="3"/>
  <c r="G148" i="3"/>
  <c r="F148" i="3"/>
  <c r="E148" i="3"/>
  <c r="D148" i="3"/>
  <c r="C148" i="3"/>
  <c r="B148" i="3"/>
  <c r="A148" i="3"/>
  <c r="H147" i="3"/>
  <c r="G147" i="3"/>
  <c r="F147" i="3"/>
  <c r="E147" i="3"/>
  <c r="D147" i="3"/>
  <c r="C147" i="3"/>
  <c r="B147" i="3"/>
  <c r="A147" i="3"/>
  <c r="H146" i="3"/>
  <c r="G146" i="3"/>
  <c r="F146" i="3"/>
  <c r="E146" i="3"/>
  <c r="D146" i="3"/>
  <c r="C146" i="3"/>
  <c r="B146" i="3"/>
  <c r="A146" i="3"/>
  <c r="H145" i="3"/>
  <c r="G145" i="3"/>
  <c r="F145" i="3"/>
  <c r="E145" i="3"/>
  <c r="D145" i="3"/>
  <c r="C145" i="3"/>
  <c r="B145" i="3"/>
  <c r="A145" i="3"/>
  <c r="H144" i="3"/>
  <c r="G144" i="3"/>
  <c r="F144" i="3"/>
  <c r="E144" i="3"/>
  <c r="D144" i="3"/>
  <c r="C144" i="3"/>
  <c r="B144" i="3"/>
  <c r="A144" i="3"/>
  <c r="H143" i="3"/>
  <c r="G143" i="3"/>
  <c r="F143" i="3"/>
  <c r="E143" i="3"/>
  <c r="D143" i="3"/>
  <c r="C143" i="3"/>
  <c r="B143" i="3"/>
  <c r="A143" i="3"/>
  <c r="H142" i="3"/>
  <c r="G142" i="3"/>
  <c r="F142" i="3"/>
  <c r="E142" i="3"/>
  <c r="D142" i="3"/>
  <c r="C142" i="3"/>
  <c r="B142" i="3"/>
  <c r="A142" i="3"/>
  <c r="H141" i="3"/>
  <c r="G141" i="3"/>
  <c r="F141" i="3"/>
  <c r="E141" i="3"/>
  <c r="D141" i="3"/>
  <c r="C141" i="3"/>
  <c r="B141" i="3"/>
  <c r="A141" i="3"/>
  <c r="H140" i="3"/>
  <c r="G140" i="3"/>
  <c r="F140" i="3"/>
  <c r="E140" i="3"/>
  <c r="D140" i="3"/>
  <c r="C140" i="3"/>
  <c r="B140" i="3"/>
  <c r="A140" i="3"/>
  <c r="H139" i="3"/>
  <c r="G139" i="3"/>
  <c r="F139" i="3"/>
  <c r="E139" i="3"/>
  <c r="D139" i="3"/>
  <c r="C139" i="3"/>
  <c r="B139" i="3"/>
  <c r="A139" i="3"/>
  <c r="H138" i="3"/>
  <c r="G138" i="3"/>
  <c r="F138" i="3"/>
  <c r="E138" i="3"/>
  <c r="D138" i="3"/>
  <c r="C138" i="3"/>
  <c r="B138" i="3"/>
  <c r="A138" i="3"/>
  <c r="H137" i="3"/>
  <c r="G137" i="3"/>
  <c r="F137" i="3"/>
  <c r="E137" i="3"/>
  <c r="D137" i="3"/>
  <c r="C137" i="3"/>
  <c r="B137" i="3"/>
  <c r="A137" i="3"/>
  <c r="H136" i="3"/>
  <c r="G136" i="3"/>
  <c r="F136" i="3"/>
  <c r="E136" i="3"/>
  <c r="D136" i="3"/>
  <c r="C136" i="3"/>
  <c r="B136" i="3"/>
  <c r="A136" i="3"/>
  <c r="H135" i="3"/>
  <c r="G135" i="3"/>
  <c r="F135" i="3"/>
  <c r="E135" i="3"/>
  <c r="D135" i="3"/>
  <c r="C135" i="3"/>
  <c r="B135" i="3"/>
  <c r="A135" i="3"/>
  <c r="H134" i="3"/>
  <c r="G134" i="3"/>
  <c r="F134" i="3"/>
  <c r="E134" i="3"/>
  <c r="D134" i="3"/>
  <c r="C134" i="3"/>
  <c r="B134" i="3"/>
  <c r="A134" i="3"/>
  <c r="H133" i="3"/>
  <c r="G133" i="3"/>
  <c r="F133" i="3"/>
  <c r="E133" i="3"/>
  <c r="D133" i="3"/>
  <c r="C133" i="3"/>
  <c r="B133" i="3"/>
  <c r="A133" i="3"/>
  <c r="H132" i="3"/>
  <c r="G132" i="3"/>
  <c r="F132" i="3"/>
  <c r="E132" i="3"/>
  <c r="D132" i="3"/>
  <c r="C132" i="3"/>
  <c r="B132" i="3"/>
  <c r="A132" i="3"/>
  <c r="H131" i="3"/>
  <c r="G131" i="3"/>
  <c r="F131" i="3"/>
  <c r="E131" i="3"/>
  <c r="D131" i="3"/>
  <c r="C131" i="3"/>
  <c r="B131" i="3"/>
  <c r="A131" i="3"/>
  <c r="H130" i="3"/>
  <c r="G130" i="3"/>
  <c r="F130" i="3"/>
  <c r="E130" i="3"/>
  <c r="D130" i="3"/>
  <c r="C130" i="3"/>
  <c r="B130" i="3"/>
  <c r="A130" i="3"/>
  <c r="H129" i="3"/>
  <c r="G129" i="3"/>
  <c r="F129" i="3"/>
  <c r="E129" i="3"/>
  <c r="D129" i="3"/>
  <c r="C129" i="3"/>
  <c r="B129" i="3"/>
  <c r="A129" i="3"/>
  <c r="H128" i="3"/>
  <c r="G128" i="3"/>
  <c r="F128" i="3"/>
  <c r="E128" i="3"/>
  <c r="D128" i="3"/>
  <c r="C128" i="3"/>
  <c r="B128" i="3"/>
  <c r="A128" i="3"/>
  <c r="H127" i="3"/>
  <c r="G127" i="3"/>
  <c r="F127" i="3"/>
  <c r="E127" i="3"/>
  <c r="D127" i="3"/>
  <c r="C127" i="3"/>
  <c r="B127" i="3"/>
  <c r="A127" i="3"/>
  <c r="H126" i="3"/>
  <c r="G126" i="3"/>
  <c r="F126" i="3"/>
  <c r="E126" i="3"/>
  <c r="D126" i="3"/>
  <c r="C126" i="3"/>
  <c r="B126" i="3"/>
  <c r="A126" i="3"/>
  <c r="H125" i="3"/>
  <c r="G125" i="3"/>
  <c r="F125" i="3"/>
  <c r="E125" i="3"/>
  <c r="D125" i="3"/>
  <c r="C125" i="3"/>
  <c r="B125" i="3"/>
  <c r="A125" i="3"/>
  <c r="H124" i="3"/>
  <c r="G124" i="3"/>
  <c r="F124" i="3"/>
  <c r="E124" i="3"/>
  <c r="D124" i="3"/>
  <c r="C124" i="3"/>
  <c r="B124" i="3"/>
  <c r="A124" i="3"/>
  <c r="H123" i="3"/>
  <c r="G123" i="3"/>
  <c r="F123" i="3"/>
  <c r="E123" i="3"/>
  <c r="D123" i="3"/>
  <c r="C123" i="3"/>
  <c r="B123" i="3"/>
  <c r="A123" i="3"/>
  <c r="H122" i="3"/>
  <c r="G122" i="3"/>
  <c r="F122" i="3"/>
  <c r="E122" i="3"/>
  <c r="D122" i="3"/>
  <c r="C122" i="3"/>
  <c r="B122" i="3"/>
  <c r="A122" i="3"/>
  <c r="H121" i="3"/>
  <c r="G121" i="3"/>
  <c r="F121" i="3"/>
  <c r="E121" i="3"/>
  <c r="D121" i="3"/>
  <c r="C121" i="3"/>
  <c r="B121" i="3"/>
  <c r="A121" i="3"/>
  <c r="H120" i="3"/>
  <c r="G120" i="3"/>
  <c r="F120" i="3"/>
  <c r="E120" i="3"/>
  <c r="D120" i="3"/>
  <c r="C120" i="3"/>
  <c r="B120" i="3"/>
  <c r="A120" i="3"/>
  <c r="H119" i="3"/>
  <c r="G119" i="3"/>
  <c r="F119" i="3"/>
  <c r="E119" i="3"/>
  <c r="D119" i="3"/>
  <c r="C119" i="3"/>
  <c r="B119" i="3"/>
  <c r="A119" i="3"/>
  <c r="H118" i="3"/>
  <c r="G118" i="3"/>
  <c r="F118" i="3"/>
  <c r="E118" i="3"/>
  <c r="D118" i="3"/>
  <c r="C118" i="3"/>
  <c r="B118" i="3"/>
  <c r="A118" i="3"/>
  <c r="H117" i="3"/>
  <c r="G117" i="3"/>
  <c r="F117" i="3"/>
  <c r="E117" i="3"/>
  <c r="D117" i="3"/>
  <c r="C117" i="3"/>
  <c r="B117" i="3"/>
  <c r="A117" i="3"/>
  <c r="H116" i="3"/>
  <c r="G116" i="3"/>
  <c r="F116" i="3"/>
  <c r="E116" i="3"/>
  <c r="D116" i="3"/>
  <c r="C116" i="3"/>
  <c r="B116" i="3"/>
  <c r="A116" i="3"/>
  <c r="H115" i="3"/>
  <c r="G115" i="3"/>
  <c r="F115" i="3"/>
  <c r="E115" i="3"/>
  <c r="D115" i="3"/>
  <c r="C115" i="3"/>
  <c r="B115" i="3"/>
  <c r="A115" i="3"/>
  <c r="H114" i="3"/>
  <c r="G114" i="3"/>
  <c r="F114" i="3"/>
  <c r="E114" i="3"/>
  <c r="D114" i="3"/>
  <c r="C114" i="3"/>
  <c r="B114" i="3"/>
  <c r="A114" i="3"/>
  <c r="H113" i="3"/>
  <c r="G113" i="3"/>
  <c r="F113" i="3"/>
  <c r="E113" i="3"/>
  <c r="D113" i="3"/>
  <c r="C113" i="3"/>
  <c r="B113" i="3"/>
  <c r="A113" i="3"/>
  <c r="H112" i="3"/>
  <c r="G112" i="3"/>
  <c r="F112" i="3"/>
  <c r="E112" i="3"/>
  <c r="D112" i="3"/>
  <c r="C112" i="3"/>
  <c r="B112" i="3"/>
  <c r="A112" i="3"/>
  <c r="H111" i="3"/>
  <c r="G111" i="3"/>
  <c r="F111" i="3"/>
  <c r="E111" i="3"/>
  <c r="D111" i="3"/>
  <c r="C111" i="3"/>
  <c r="B111" i="3"/>
  <c r="A111" i="3"/>
  <c r="H110" i="3"/>
  <c r="G110" i="3"/>
  <c r="F110" i="3"/>
  <c r="E110" i="3"/>
  <c r="D110" i="3"/>
  <c r="C110" i="3"/>
  <c r="B110" i="3"/>
  <c r="A110" i="3"/>
  <c r="H109" i="3"/>
  <c r="G109" i="3"/>
  <c r="F109" i="3"/>
  <c r="E109" i="3"/>
  <c r="D109" i="3"/>
  <c r="C109" i="3"/>
  <c r="B109" i="3"/>
  <c r="A109" i="3"/>
  <c r="H108" i="3"/>
  <c r="G108" i="3"/>
  <c r="F108" i="3"/>
  <c r="E108" i="3"/>
  <c r="D108" i="3"/>
  <c r="C108" i="3"/>
  <c r="B108" i="3"/>
  <c r="A108" i="3"/>
  <c r="H107" i="3"/>
  <c r="G107" i="3"/>
  <c r="F107" i="3"/>
  <c r="E107" i="3"/>
  <c r="D107" i="3"/>
  <c r="C107" i="3"/>
  <c r="B107" i="3"/>
  <c r="A107" i="3"/>
  <c r="H106" i="3"/>
  <c r="G106" i="3"/>
  <c r="F106" i="3"/>
  <c r="E106" i="3"/>
  <c r="D106" i="3"/>
  <c r="C106" i="3"/>
  <c r="B106" i="3"/>
  <c r="A106" i="3"/>
  <c r="H105" i="3"/>
  <c r="G105" i="3"/>
  <c r="F105" i="3"/>
  <c r="E105" i="3"/>
  <c r="D105" i="3"/>
  <c r="C105" i="3"/>
  <c r="B105" i="3"/>
  <c r="A105" i="3"/>
  <c r="H104" i="3"/>
  <c r="G104" i="3"/>
  <c r="F104" i="3"/>
  <c r="E104" i="3"/>
  <c r="D104" i="3"/>
  <c r="C104" i="3"/>
  <c r="B104" i="3"/>
  <c r="A104" i="3"/>
  <c r="H103" i="3"/>
  <c r="G103" i="3"/>
  <c r="F103" i="3"/>
  <c r="E103" i="3"/>
  <c r="D103" i="3"/>
  <c r="C103" i="3"/>
  <c r="B103" i="3"/>
  <c r="A103" i="3"/>
  <c r="H102" i="3"/>
  <c r="G102" i="3"/>
  <c r="F102" i="3"/>
  <c r="E102" i="3"/>
  <c r="D102" i="3"/>
  <c r="C102" i="3"/>
  <c r="B102" i="3"/>
  <c r="A102" i="3"/>
  <c r="H101" i="3"/>
  <c r="G101" i="3"/>
  <c r="F101" i="3"/>
  <c r="E101" i="3"/>
  <c r="D101" i="3"/>
  <c r="C101" i="3"/>
  <c r="B101" i="3"/>
  <c r="A101" i="3"/>
  <c r="H100" i="3"/>
  <c r="G100" i="3"/>
  <c r="F100" i="3"/>
  <c r="E100" i="3"/>
  <c r="D100" i="3"/>
  <c r="C100" i="3"/>
  <c r="B100" i="3"/>
  <c r="A100" i="3"/>
  <c r="H99" i="3"/>
  <c r="G99" i="3"/>
  <c r="F99" i="3"/>
  <c r="E99" i="3"/>
  <c r="D99" i="3"/>
  <c r="C99" i="3"/>
  <c r="B99" i="3"/>
  <c r="A99" i="3"/>
  <c r="H98" i="3"/>
  <c r="G98" i="3"/>
  <c r="F98" i="3"/>
  <c r="E98" i="3"/>
  <c r="D98" i="3"/>
  <c r="C98" i="3"/>
  <c r="B98" i="3"/>
  <c r="A98" i="3"/>
  <c r="H97" i="3"/>
  <c r="G97" i="3"/>
  <c r="F97" i="3"/>
  <c r="E97" i="3"/>
  <c r="D97" i="3"/>
  <c r="C97" i="3"/>
  <c r="B97" i="3"/>
  <c r="A97" i="3"/>
  <c r="H96" i="3"/>
  <c r="G96" i="3"/>
  <c r="F96" i="3"/>
  <c r="E96" i="3"/>
  <c r="D96" i="3"/>
  <c r="C96" i="3"/>
  <c r="B96" i="3"/>
  <c r="A96" i="3"/>
  <c r="H95" i="3"/>
  <c r="G95" i="3"/>
  <c r="F95" i="3"/>
  <c r="E95" i="3"/>
  <c r="D95" i="3"/>
  <c r="C95" i="3"/>
  <c r="B95" i="3"/>
  <c r="A95" i="3"/>
  <c r="H94" i="3"/>
  <c r="G94" i="3"/>
  <c r="F94" i="3"/>
  <c r="E94" i="3"/>
  <c r="D94" i="3"/>
  <c r="C94" i="3"/>
  <c r="B94" i="3"/>
  <c r="A94" i="3"/>
  <c r="H93" i="3"/>
  <c r="G93" i="3"/>
  <c r="F93" i="3"/>
  <c r="E93" i="3"/>
  <c r="D93" i="3"/>
  <c r="C93" i="3"/>
  <c r="B93" i="3"/>
  <c r="A93" i="3"/>
  <c r="H92" i="3"/>
  <c r="G92" i="3"/>
  <c r="F92" i="3"/>
  <c r="E92" i="3"/>
  <c r="D92" i="3"/>
  <c r="C92" i="3"/>
  <c r="B92" i="3"/>
  <c r="A92" i="3"/>
  <c r="H91" i="3"/>
  <c r="G91" i="3"/>
  <c r="F91" i="3"/>
  <c r="E91" i="3"/>
  <c r="D91" i="3"/>
  <c r="C91" i="3"/>
  <c r="B91" i="3"/>
  <c r="A91" i="3"/>
  <c r="H90" i="3"/>
  <c r="G90" i="3"/>
  <c r="F90" i="3"/>
  <c r="E90" i="3"/>
  <c r="D90" i="3"/>
  <c r="C90" i="3"/>
  <c r="B90" i="3"/>
  <c r="A90" i="3"/>
  <c r="H89" i="3"/>
  <c r="G89" i="3"/>
  <c r="F89" i="3"/>
  <c r="E89" i="3"/>
  <c r="D89" i="3"/>
  <c r="C89" i="3"/>
  <c r="B89" i="3"/>
  <c r="A89" i="3"/>
  <c r="H88" i="3"/>
  <c r="G88" i="3"/>
  <c r="F88" i="3"/>
  <c r="E88" i="3"/>
  <c r="D88" i="3"/>
  <c r="C88" i="3"/>
  <c r="B88" i="3"/>
  <c r="A88" i="3"/>
  <c r="H87" i="3"/>
  <c r="G87" i="3"/>
  <c r="F87" i="3"/>
  <c r="E87" i="3"/>
  <c r="D87" i="3"/>
  <c r="C87" i="3"/>
  <c r="B87" i="3"/>
  <c r="A87" i="3"/>
  <c r="H86" i="3"/>
  <c r="G86" i="3"/>
  <c r="F86" i="3"/>
  <c r="E86" i="3"/>
  <c r="D86" i="3"/>
  <c r="C86" i="3"/>
  <c r="B86" i="3"/>
  <c r="A86" i="3"/>
  <c r="H85" i="3"/>
  <c r="G85" i="3"/>
  <c r="F85" i="3"/>
  <c r="E85" i="3"/>
  <c r="D85" i="3"/>
  <c r="C85" i="3"/>
  <c r="B85" i="3"/>
  <c r="A85" i="3"/>
  <c r="H84" i="3"/>
  <c r="G84" i="3"/>
  <c r="F84" i="3"/>
  <c r="E84" i="3"/>
  <c r="D84" i="3"/>
  <c r="C84" i="3"/>
  <c r="B84" i="3"/>
  <c r="A84" i="3"/>
  <c r="H83" i="3"/>
  <c r="G83" i="3"/>
  <c r="F83" i="3"/>
  <c r="E83" i="3"/>
  <c r="D83" i="3"/>
  <c r="C83" i="3"/>
  <c r="B83" i="3"/>
  <c r="A83" i="3"/>
  <c r="H82" i="3"/>
  <c r="G82" i="3"/>
  <c r="F82" i="3"/>
  <c r="E82" i="3"/>
  <c r="D82" i="3"/>
  <c r="C82" i="3"/>
  <c r="B82" i="3"/>
  <c r="A82" i="3"/>
  <c r="H81" i="3"/>
  <c r="G81" i="3"/>
  <c r="F81" i="3"/>
  <c r="E81" i="3"/>
  <c r="D81" i="3"/>
  <c r="C81" i="3"/>
  <c r="B81" i="3"/>
  <c r="A81" i="3"/>
  <c r="H80" i="3"/>
  <c r="G80" i="3"/>
  <c r="F80" i="3"/>
  <c r="E80" i="3"/>
  <c r="D80" i="3"/>
  <c r="C80" i="3"/>
  <c r="B80" i="3"/>
  <c r="A80" i="3"/>
  <c r="H79" i="3"/>
  <c r="G79" i="3"/>
  <c r="F79" i="3"/>
  <c r="E79" i="3"/>
  <c r="D79" i="3"/>
  <c r="C79" i="3"/>
  <c r="B79" i="3"/>
  <c r="A79" i="3"/>
  <c r="H78" i="3"/>
  <c r="G78" i="3"/>
  <c r="F78" i="3"/>
  <c r="E78" i="3"/>
  <c r="D78" i="3"/>
  <c r="C78" i="3"/>
  <c r="B78" i="3"/>
  <c r="A78" i="3"/>
  <c r="H77" i="3"/>
  <c r="G77" i="3"/>
  <c r="F77" i="3"/>
  <c r="E77" i="3"/>
  <c r="D77" i="3"/>
  <c r="C77" i="3"/>
  <c r="B77" i="3"/>
  <c r="A77" i="3"/>
  <c r="H76" i="3"/>
  <c r="G76" i="3"/>
  <c r="F76" i="3"/>
  <c r="E76" i="3"/>
  <c r="D76" i="3"/>
  <c r="C76" i="3"/>
  <c r="B76" i="3"/>
  <c r="A76" i="3"/>
  <c r="H75" i="3"/>
  <c r="G75" i="3"/>
  <c r="F75" i="3"/>
  <c r="E75" i="3"/>
  <c r="D75" i="3"/>
  <c r="C75" i="3"/>
  <c r="B75" i="3"/>
  <c r="A75" i="3"/>
  <c r="H74" i="3"/>
  <c r="G74" i="3"/>
  <c r="F74" i="3"/>
  <c r="E74" i="3"/>
  <c r="D74" i="3"/>
  <c r="C74" i="3"/>
  <c r="B74" i="3"/>
  <c r="A74" i="3"/>
  <c r="H73" i="3"/>
  <c r="G73" i="3"/>
  <c r="F73" i="3"/>
  <c r="E73" i="3"/>
  <c r="D73" i="3"/>
  <c r="C73" i="3"/>
  <c r="B73" i="3"/>
  <c r="A73" i="3"/>
  <c r="H72" i="3"/>
  <c r="G72" i="3"/>
  <c r="F72" i="3"/>
  <c r="E72" i="3"/>
  <c r="D72" i="3"/>
  <c r="C72" i="3"/>
  <c r="B72" i="3"/>
  <c r="A72" i="3"/>
  <c r="H71" i="3"/>
  <c r="G71" i="3"/>
  <c r="F71" i="3"/>
  <c r="E71" i="3"/>
  <c r="D71" i="3"/>
  <c r="C71" i="3"/>
  <c r="B71" i="3"/>
  <c r="A71" i="3"/>
  <c r="H70" i="3"/>
  <c r="G70" i="3"/>
  <c r="F70" i="3"/>
  <c r="E70" i="3"/>
  <c r="D70" i="3"/>
  <c r="C70" i="3"/>
  <c r="B70" i="3"/>
  <c r="A70" i="3"/>
  <c r="H69" i="3"/>
  <c r="G69" i="3"/>
  <c r="F69" i="3"/>
  <c r="E69" i="3"/>
  <c r="D69" i="3"/>
  <c r="C69" i="3"/>
  <c r="B69" i="3"/>
  <c r="A69" i="3"/>
  <c r="H68" i="3"/>
  <c r="G68" i="3"/>
  <c r="F68" i="3"/>
  <c r="E68" i="3"/>
  <c r="D68" i="3"/>
  <c r="C68" i="3"/>
  <c r="B68" i="3"/>
  <c r="A68" i="3"/>
  <c r="H67" i="3"/>
  <c r="G67" i="3"/>
  <c r="F67" i="3"/>
  <c r="E67" i="3"/>
  <c r="D67" i="3"/>
  <c r="C67" i="3"/>
  <c r="B67" i="3"/>
  <c r="A67" i="3"/>
  <c r="H66" i="3"/>
  <c r="G66" i="3"/>
  <c r="F66" i="3"/>
  <c r="E66" i="3"/>
  <c r="D66" i="3"/>
  <c r="C66" i="3"/>
  <c r="B66" i="3"/>
  <c r="A66" i="3"/>
  <c r="H65" i="3"/>
  <c r="G65" i="3"/>
  <c r="F65" i="3"/>
  <c r="E65" i="3"/>
  <c r="D65" i="3"/>
  <c r="C65" i="3"/>
  <c r="B65" i="3"/>
  <c r="A65" i="3"/>
  <c r="H64" i="3"/>
  <c r="G64" i="3"/>
  <c r="F64" i="3"/>
  <c r="E64" i="3"/>
  <c r="D64" i="3"/>
  <c r="C64" i="3"/>
  <c r="B64" i="3"/>
  <c r="A64" i="3"/>
  <c r="H63" i="3"/>
  <c r="G63" i="3"/>
  <c r="F63" i="3"/>
  <c r="E63" i="3"/>
  <c r="D63" i="3"/>
  <c r="C63" i="3"/>
  <c r="B63" i="3"/>
  <c r="A63" i="3"/>
  <c r="H62" i="3"/>
  <c r="G62" i="3"/>
  <c r="F62" i="3"/>
  <c r="E62" i="3"/>
  <c r="D62" i="3"/>
  <c r="C62" i="3"/>
  <c r="B62" i="3"/>
  <c r="A62" i="3"/>
  <c r="H61" i="3"/>
  <c r="G61" i="3"/>
  <c r="F61" i="3"/>
  <c r="E61" i="3"/>
  <c r="D61" i="3"/>
  <c r="C61" i="3"/>
  <c r="B61" i="3"/>
  <c r="A61" i="3"/>
  <c r="H60" i="3"/>
  <c r="G60" i="3"/>
  <c r="F60" i="3"/>
  <c r="E60" i="3"/>
  <c r="D60" i="3"/>
  <c r="C60" i="3"/>
  <c r="B60" i="3"/>
  <c r="A60" i="3"/>
  <c r="H59" i="3"/>
  <c r="G59" i="3"/>
  <c r="F59" i="3"/>
  <c r="E59" i="3"/>
  <c r="D59" i="3"/>
  <c r="C59" i="3"/>
  <c r="B59" i="3"/>
  <c r="A59" i="3"/>
  <c r="H58" i="3"/>
  <c r="G58" i="3"/>
  <c r="F58" i="3"/>
  <c r="E58" i="3"/>
  <c r="D58" i="3"/>
  <c r="C58" i="3"/>
  <c r="B58" i="3"/>
  <c r="A58" i="3"/>
  <c r="H57" i="3"/>
  <c r="G57" i="3"/>
  <c r="F57" i="3"/>
  <c r="E57" i="3"/>
  <c r="D57" i="3"/>
  <c r="C57" i="3"/>
  <c r="B57" i="3"/>
  <c r="A57" i="3"/>
  <c r="H56" i="3"/>
  <c r="G56" i="3"/>
  <c r="F56" i="3"/>
  <c r="E56" i="3"/>
  <c r="D56" i="3"/>
  <c r="C56" i="3"/>
  <c r="B56" i="3"/>
  <c r="A56" i="3"/>
  <c r="H55" i="3"/>
  <c r="G55" i="3"/>
  <c r="F55" i="3"/>
  <c r="E55" i="3"/>
  <c r="D55" i="3"/>
  <c r="C55" i="3"/>
  <c r="B55" i="3"/>
  <c r="A55" i="3"/>
  <c r="H54" i="3"/>
  <c r="G54" i="3"/>
  <c r="F54" i="3"/>
  <c r="E54" i="3"/>
  <c r="D54" i="3"/>
  <c r="C54" i="3"/>
  <c r="B54" i="3"/>
  <c r="A54" i="3"/>
  <c r="H53" i="3"/>
  <c r="G53" i="3"/>
  <c r="F53" i="3"/>
  <c r="E53" i="3"/>
  <c r="D53" i="3"/>
  <c r="C53" i="3"/>
  <c r="B53" i="3"/>
  <c r="A53" i="3"/>
  <c r="H52" i="3"/>
  <c r="G52" i="3"/>
  <c r="F52" i="3"/>
  <c r="E52" i="3"/>
  <c r="D52" i="3"/>
  <c r="C52" i="3"/>
  <c r="B52" i="3"/>
  <c r="A52" i="3"/>
  <c r="H51" i="3"/>
  <c r="G51" i="3"/>
  <c r="F51" i="3"/>
  <c r="E51" i="3"/>
  <c r="D51" i="3"/>
  <c r="C51" i="3"/>
  <c r="B51" i="3"/>
  <c r="A51" i="3"/>
  <c r="H50" i="3"/>
  <c r="G50" i="3"/>
  <c r="F50" i="3"/>
  <c r="E50" i="3"/>
  <c r="D50" i="3"/>
  <c r="C50" i="3"/>
  <c r="B50" i="3"/>
  <c r="A50" i="3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E14" i="3"/>
  <c r="D14" i="3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H4" i="3"/>
  <c r="G4" i="3"/>
  <c r="F4" i="3"/>
  <c r="E4" i="3"/>
  <c r="D4" i="3"/>
  <c r="C4" i="3"/>
  <c r="B4" i="3"/>
  <c r="A4" i="3"/>
  <c r="H3" i="3"/>
  <c r="G3" i="3"/>
  <c r="F3" i="3"/>
  <c r="E3" i="3"/>
  <c r="D3" i="3"/>
  <c r="C3" i="3"/>
  <c r="B3" i="3"/>
  <c r="A3" i="3"/>
  <c r="H2" i="3"/>
  <c r="G2" i="3"/>
  <c r="F2" i="3"/>
  <c r="E2" i="3"/>
  <c r="D2" i="3"/>
  <c r="C2" i="3"/>
  <c r="B2" i="3"/>
  <c r="A2" i="3"/>
  <c r="G1" i="3"/>
  <c r="F1" i="3"/>
  <c r="E1" i="3"/>
  <c r="D1" i="3"/>
  <c r="C1" i="3"/>
  <c r="B1" i="3"/>
  <c r="H1" i="3"/>
  <c r="A1" i="3"/>
  <c r="G37" i="4" l="1" a="1"/>
  <c r="G37" i="4" s="1"/>
  <c r="G36" i="4"/>
  <c r="G35" i="4" a="1"/>
  <c r="G35" i="4" s="1"/>
  <c r="J37" i="4" a="1"/>
  <c r="J37" i="4" s="1"/>
  <c r="J36" i="4"/>
  <c r="J35" i="4" a="1"/>
  <c r="J35" i="4" s="1"/>
  <c r="D35" i="4" a="1"/>
  <c r="D35" i="4" s="1"/>
  <c r="D36" i="4"/>
  <c r="B77" i="4" a="1"/>
  <c r="B77" i="4" s="1"/>
  <c r="C77" i="4" a="1"/>
  <c r="C77" i="4" s="1"/>
  <c r="C75" i="4" a="1"/>
  <c r="C75" i="4" s="1"/>
  <c r="C76" i="4"/>
  <c r="E76" i="4"/>
  <c r="E75" i="4" a="1"/>
  <c r="E75" i="4" s="1"/>
  <c r="E77" i="4" a="1"/>
  <c r="E77" i="4" s="1"/>
  <c r="B76" i="4"/>
  <c r="D77" i="4" a="1"/>
  <c r="D77" i="4" s="1"/>
  <c r="D76" i="4"/>
  <c r="D75" i="4" a="1"/>
  <c r="D75" i="4" s="1"/>
  <c r="B75" i="4" a="1"/>
  <c r="B75" i="4" s="1"/>
  <c r="B54" i="4" a="1"/>
  <c r="B54" i="4" s="1"/>
  <c r="B56" i="4" a="1"/>
  <c r="B56" i="4" s="1"/>
  <c r="B55" i="4"/>
  <c r="E54" i="4" a="1"/>
  <c r="E54" i="4" s="1"/>
  <c r="E56" i="4" a="1"/>
  <c r="E56" i="4" s="1"/>
  <c r="E55" i="4"/>
  <c r="C54" i="4" a="1"/>
  <c r="C54" i="4" s="1"/>
  <c r="C56" i="4" a="1"/>
  <c r="C56" i="4" s="1"/>
  <c r="C55" i="4"/>
  <c r="D56" i="4" a="1"/>
  <c r="D56" i="4" s="1"/>
  <c r="D54" i="4" a="1"/>
  <c r="D54" i="4" s="1"/>
  <c r="D55" i="4"/>
  <c r="H37" i="4" a="1"/>
  <c r="H37" i="4" s="1"/>
  <c r="F35" i="4" a="1"/>
  <c r="F35" i="4" s="1"/>
  <c r="B37" i="4" a="1"/>
  <c r="B37" i="4" s="1"/>
  <c r="K37" i="4" a="1"/>
  <c r="K37" i="4" s="1"/>
  <c r="H18" i="4" a="1"/>
  <c r="H18" i="4" s="1"/>
  <c r="K18" i="4" a="1"/>
  <c r="K18" i="4" s="1"/>
  <c r="F37" i="4" a="1"/>
  <c r="F37" i="4" s="1"/>
  <c r="I16" i="4" a="1"/>
  <c r="I16" i="4" s="1"/>
  <c r="I37" i="4" a="1"/>
  <c r="I37" i="4" s="1"/>
  <c r="L18" i="4" a="1"/>
  <c r="L18" i="4" s="1"/>
  <c r="I18" i="4" a="1"/>
  <c r="I18" i="4" s="1"/>
  <c r="E18" i="4" a="1"/>
  <c r="E18" i="4" s="1"/>
  <c r="E36" i="4"/>
  <c r="E37" i="4" a="1"/>
  <c r="E37" i="4" s="1"/>
  <c r="L36" i="4"/>
  <c r="L37" i="4" a="1"/>
  <c r="L37" i="4" s="1"/>
  <c r="C18" i="4" a="1"/>
  <c r="C18" i="4" s="1"/>
  <c r="C37" i="4" a="1"/>
  <c r="C37" i="4" s="1"/>
  <c r="L16" i="4" a="1"/>
  <c r="L16" i="4" s="1"/>
  <c r="B18" i="4" a="1"/>
  <c r="B18" i="4" s="1"/>
  <c r="F17" i="4"/>
  <c r="F18" i="4" a="1"/>
  <c r="F18" i="4" s="1"/>
  <c r="F16" i="4" a="1"/>
  <c r="F16" i="4" s="1"/>
  <c r="L35" i="4" a="1"/>
  <c r="L35" i="4" s="1"/>
  <c r="C17" i="4"/>
  <c r="C36" i="4"/>
  <c r="H36" i="4"/>
  <c r="E17" i="4"/>
  <c r="E16" i="4" a="1"/>
  <c r="E16" i="4" s="1"/>
  <c r="B36" i="4"/>
  <c r="B16" i="4" a="1"/>
  <c r="B16" i="4" s="1"/>
  <c r="B17" i="4"/>
  <c r="I36" i="4"/>
  <c r="K17" i="4"/>
  <c r="K16" i="4" a="1"/>
  <c r="K16" i="4" s="1"/>
  <c r="E35" i="4" a="1"/>
  <c r="E35" i="4" s="1"/>
  <c r="C35" i="4" a="1"/>
  <c r="C35" i="4" s="1"/>
  <c r="L17" i="4"/>
  <c r="F36" i="4"/>
  <c r="H35" i="4" a="1"/>
  <c r="H35" i="4" s="1"/>
  <c r="K36" i="4"/>
  <c r="I35" i="4" a="1"/>
  <c r="I35" i="4" s="1"/>
  <c r="I17" i="4"/>
  <c r="B35" i="4" a="1"/>
  <c r="B35" i="4" s="1"/>
  <c r="H16" i="4" a="1"/>
  <c r="H16" i="4" s="1"/>
  <c r="H17" i="4"/>
  <c r="C16" i="4" a="1"/>
  <c r="C16" i="4" s="1"/>
  <c r="K35" i="4" a="1"/>
  <c r="K35" i="4" s="1"/>
  <c r="J2" i="3"/>
  <c r="M13" i="3"/>
  <c r="M53" i="3"/>
  <c r="M93" i="3"/>
  <c r="M133" i="3"/>
  <c r="M75" i="3"/>
  <c r="M117" i="3"/>
  <c r="M119" i="3"/>
  <c r="M121" i="3"/>
  <c r="M123" i="3"/>
  <c r="M47" i="3"/>
  <c r="M91" i="3"/>
  <c r="M15" i="3"/>
  <c r="M55" i="3"/>
  <c r="M95" i="3"/>
  <c r="M135" i="3"/>
  <c r="M19" i="3"/>
  <c r="M99" i="3"/>
  <c r="M21" i="3"/>
  <c r="M63" i="3"/>
  <c r="M7" i="3"/>
  <c r="M113" i="3"/>
  <c r="M37" i="3"/>
  <c r="M81" i="3"/>
  <c r="M83" i="3"/>
  <c r="M87" i="3"/>
  <c r="M129" i="3"/>
  <c r="M51" i="3"/>
  <c r="M17" i="3"/>
  <c r="M57" i="3"/>
  <c r="M97" i="3"/>
  <c r="M137" i="3"/>
  <c r="M59" i="3"/>
  <c r="M139" i="3"/>
  <c r="M61" i="3"/>
  <c r="M101" i="3"/>
  <c r="M141" i="3"/>
  <c r="M103" i="3"/>
  <c r="M143" i="3"/>
  <c r="M111" i="3"/>
  <c r="M33" i="3"/>
  <c r="M115" i="3"/>
  <c r="M77" i="3"/>
  <c r="M79" i="3"/>
  <c r="M41" i="3"/>
  <c r="M45" i="3"/>
  <c r="M49" i="3"/>
  <c r="M131" i="3"/>
  <c r="M23" i="3"/>
  <c r="M25" i="3"/>
  <c r="M65" i="3"/>
  <c r="M105" i="3"/>
  <c r="M145" i="3"/>
  <c r="M27" i="3"/>
  <c r="M67" i="3"/>
  <c r="M107" i="3"/>
  <c r="M11" i="3"/>
  <c r="M31" i="3"/>
  <c r="M71" i="3"/>
  <c r="M73" i="3"/>
  <c r="M35" i="3"/>
  <c r="M3" i="3"/>
  <c r="M39" i="3"/>
  <c r="M43" i="3"/>
  <c r="M125" i="3"/>
  <c r="M127" i="3"/>
  <c r="M89" i="3"/>
  <c r="M29" i="3"/>
  <c r="M69" i="3"/>
  <c r="M109" i="3"/>
  <c r="M9" i="3"/>
  <c r="M5" i="3"/>
  <c r="M85" i="3"/>
  <c r="K34" i="3"/>
  <c r="K35" i="3"/>
  <c r="K51" i="3"/>
  <c r="K93" i="3"/>
  <c r="K33" i="3"/>
  <c r="K94" i="3"/>
  <c r="K95" i="3"/>
  <c r="K37" i="3"/>
  <c r="K110" i="3"/>
  <c r="K111" i="3"/>
  <c r="K112" i="3"/>
  <c r="K36" i="3"/>
  <c r="K113" i="3"/>
  <c r="K114" i="3"/>
  <c r="K57" i="3"/>
  <c r="K9" i="3"/>
  <c r="K130" i="3"/>
  <c r="K13" i="3"/>
  <c r="K72" i="3"/>
  <c r="K131" i="3"/>
  <c r="K53" i="3"/>
  <c r="K132" i="3"/>
  <c r="K16" i="3"/>
  <c r="K74" i="3"/>
  <c r="K135" i="3"/>
  <c r="K115" i="3"/>
  <c r="K10" i="3"/>
  <c r="K15" i="3"/>
  <c r="K73" i="3"/>
  <c r="K17" i="3"/>
  <c r="K75" i="3"/>
  <c r="K136" i="3"/>
  <c r="K69" i="3"/>
  <c r="K117" i="3"/>
  <c r="K11" i="3"/>
  <c r="K76" i="3"/>
  <c r="K30" i="3"/>
  <c r="K77" i="3"/>
  <c r="K116" i="3"/>
  <c r="K70" i="3"/>
  <c r="K71" i="3"/>
  <c r="K29" i="3"/>
  <c r="K137" i="3"/>
  <c r="K31" i="3"/>
  <c r="K89" i="3"/>
  <c r="K52" i="3"/>
  <c r="K32" i="3"/>
  <c r="K90" i="3"/>
  <c r="K129" i="3"/>
  <c r="K49" i="3"/>
  <c r="K91" i="3"/>
  <c r="K133" i="3"/>
  <c r="K50" i="3"/>
  <c r="K92" i="3"/>
  <c r="K134" i="3"/>
  <c r="K12" i="3"/>
  <c r="K54" i="3"/>
  <c r="K96" i="3"/>
  <c r="K55" i="3"/>
  <c r="K97" i="3"/>
  <c r="K14" i="3"/>
  <c r="K56" i="3"/>
  <c r="K109" i="3"/>
  <c r="K18" i="3"/>
  <c r="K38" i="3"/>
  <c r="K58" i="3"/>
  <c r="K78" i="3"/>
  <c r="K98" i="3"/>
  <c r="K118" i="3"/>
  <c r="K138" i="3"/>
  <c r="K19" i="3"/>
  <c r="K39" i="3"/>
  <c r="K59" i="3"/>
  <c r="K79" i="3"/>
  <c r="K99" i="3"/>
  <c r="K119" i="3"/>
  <c r="I2" i="3"/>
  <c r="K2" i="3" s="1"/>
  <c r="L31" i="3"/>
  <c r="L51" i="3"/>
  <c r="L71" i="3"/>
  <c r="L91" i="3"/>
  <c r="L111" i="3"/>
  <c r="L131" i="3"/>
  <c r="L79" i="3"/>
  <c r="L61" i="3"/>
  <c r="L83" i="3"/>
  <c r="L85" i="3"/>
  <c r="L145" i="3"/>
  <c r="L87" i="3"/>
  <c r="L11" i="3"/>
  <c r="L109" i="3"/>
  <c r="L7" i="3"/>
  <c r="L19" i="3"/>
  <c r="L119" i="3"/>
  <c r="L21" i="3"/>
  <c r="L141" i="3"/>
  <c r="L43" i="3"/>
  <c r="L143" i="3"/>
  <c r="L65" i="3"/>
  <c r="L47" i="3"/>
  <c r="L29" i="3"/>
  <c r="L129" i="3"/>
  <c r="L13" i="3"/>
  <c r="L33" i="3"/>
  <c r="L53" i="3"/>
  <c r="L73" i="3"/>
  <c r="L93" i="3"/>
  <c r="L113" i="3"/>
  <c r="L133" i="3"/>
  <c r="L35" i="3"/>
  <c r="L55" i="3"/>
  <c r="L75" i="3"/>
  <c r="L95" i="3"/>
  <c r="L115" i="3"/>
  <c r="L135" i="3"/>
  <c r="L17" i="3"/>
  <c r="L37" i="3"/>
  <c r="L57" i="3"/>
  <c r="L77" i="3"/>
  <c r="L97" i="3"/>
  <c r="L117" i="3"/>
  <c r="L137" i="3"/>
  <c r="L59" i="3"/>
  <c r="L99" i="3"/>
  <c r="L101" i="3"/>
  <c r="L103" i="3"/>
  <c r="L105" i="3"/>
  <c r="L107" i="3"/>
  <c r="L127" i="3"/>
  <c r="L69" i="3"/>
  <c r="L5" i="3"/>
  <c r="L39" i="3"/>
  <c r="L139" i="3"/>
  <c r="L41" i="3"/>
  <c r="L121" i="3"/>
  <c r="L23" i="3"/>
  <c r="L123" i="3"/>
  <c r="L25" i="3"/>
  <c r="L125" i="3"/>
  <c r="L27" i="3"/>
  <c r="L49" i="3"/>
  <c r="L15" i="3"/>
  <c r="L81" i="3"/>
  <c r="L63" i="3"/>
  <c r="L45" i="3"/>
  <c r="L67" i="3"/>
  <c r="L89" i="3"/>
  <c r="L9" i="3"/>
  <c r="K20" i="3"/>
  <c r="K40" i="3"/>
  <c r="K60" i="3"/>
  <c r="K80" i="3"/>
  <c r="K100" i="3"/>
  <c r="K120" i="3"/>
  <c r="K140" i="3"/>
  <c r="K21" i="3"/>
  <c r="K101" i="3"/>
  <c r="K22" i="3"/>
  <c r="K42" i="3"/>
  <c r="K62" i="3"/>
  <c r="K82" i="3"/>
  <c r="K102" i="3"/>
  <c r="K122" i="3"/>
  <c r="K142" i="3"/>
  <c r="K41" i="3"/>
  <c r="K81" i="3"/>
  <c r="K121" i="3"/>
  <c r="K3" i="3"/>
  <c r="K23" i="3"/>
  <c r="K43" i="3"/>
  <c r="K63" i="3"/>
  <c r="K83" i="3"/>
  <c r="K103" i="3"/>
  <c r="K123" i="3"/>
  <c r="K143" i="3"/>
  <c r="K61" i="3"/>
  <c r="K141" i="3"/>
  <c r="K4" i="3"/>
  <c r="K24" i="3"/>
  <c r="K44" i="3"/>
  <c r="K64" i="3"/>
  <c r="K84" i="3"/>
  <c r="K104" i="3"/>
  <c r="K124" i="3"/>
  <c r="K144" i="3"/>
  <c r="K5" i="3"/>
  <c r="K25" i="3"/>
  <c r="K45" i="3"/>
  <c r="K65" i="3"/>
  <c r="K85" i="3"/>
  <c r="K105" i="3"/>
  <c r="K125" i="3"/>
  <c r="K145" i="3"/>
  <c r="K6" i="3"/>
  <c r="K26" i="3"/>
  <c r="K46" i="3"/>
  <c r="K66" i="3"/>
  <c r="K86" i="3"/>
  <c r="K106" i="3"/>
  <c r="K126" i="3"/>
  <c r="K7" i="3"/>
  <c r="K27" i="3"/>
  <c r="K47" i="3"/>
  <c r="K67" i="3"/>
  <c r="K87" i="3"/>
  <c r="K107" i="3"/>
  <c r="K127" i="3"/>
  <c r="K8" i="3"/>
  <c r="K28" i="3"/>
  <c r="K48" i="3"/>
  <c r="K68" i="3"/>
  <c r="K88" i="3"/>
  <c r="K108" i="3"/>
  <c r="K128" i="3"/>
  <c r="M147" i="3" l="1"/>
  <c r="L3" i="3"/>
  <c r="L14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<sst xmlns="http://schemas.openxmlformats.org/spreadsheetml/2006/main" count="1857" uniqueCount="76">
  <si>
    <t>state_long</t>
  </si>
  <si>
    <t>state_short</t>
  </si>
  <si>
    <t>utility</t>
  </si>
  <si>
    <t>building_id</t>
  </si>
  <si>
    <t>latitude</t>
  </si>
  <si>
    <t>longitude</t>
  </si>
  <si>
    <t>year</t>
  </si>
  <si>
    <t>run_type</t>
  </si>
  <si>
    <t>savings_year1</t>
  </si>
  <si>
    <t>annual_energy</t>
  </si>
  <si>
    <t>npv</t>
  </si>
  <si>
    <t>year_1_bill</t>
  </si>
  <si>
    <t>alabama</t>
  </si>
  <si>
    <t>AL</t>
  </si>
  <si>
    <t>apc</t>
  </si>
  <si>
    <t>tmy</t>
  </si>
  <si>
    <t>amy</t>
  </si>
  <si>
    <t>arizona</t>
  </si>
  <si>
    <t>AZ</t>
  </si>
  <si>
    <t>aps</t>
  </si>
  <si>
    <t>california</t>
  </si>
  <si>
    <t>CA</t>
  </si>
  <si>
    <t>sdge</t>
  </si>
  <si>
    <t>colorado</t>
  </si>
  <si>
    <t>CO</t>
  </si>
  <si>
    <t>xcel</t>
  </si>
  <si>
    <t>massachusetts</t>
  </si>
  <si>
    <t>MA</t>
  </si>
  <si>
    <t>nationalgrid</t>
  </si>
  <si>
    <t>minnesota</t>
  </si>
  <si>
    <t>MN</t>
  </si>
  <si>
    <t>newyork</t>
  </si>
  <si>
    <t>NY</t>
  </si>
  <si>
    <t>coned</t>
  </si>
  <si>
    <t>ohio</t>
  </si>
  <si>
    <t>OH</t>
  </si>
  <si>
    <t>aep</t>
  </si>
  <si>
    <t>oregon</t>
  </si>
  <si>
    <t>OR</t>
  </si>
  <si>
    <t>pge</t>
  </si>
  <si>
    <t>texas</t>
  </si>
  <si>
    <t>TX</t>
  </si>
  <si>
    <t>vermont</t>
  </si>
  <si>
    <t>VT</t>
  </si>
  <si>
    <t>gmp</t>
  </si>
  <si>
    <t>wisconsin</t>
  </si>
  <si>
    <t>WI</t>
  </si>
  <si>
    <t>we_energies</t>
  </si>
  <si>
    <t>savings pv only</t>
  </si>
  <si>
    <t>Savings w batt</t>
  </si>
  <si>
    <t>Savings Diff no batt</t>
  </si>
  <si>
    <t>Savings Diff batt</t>
  </si>
  <si>
    <t>Median</t>
  </si>
  <si>
    <t>Colorado TMY</t>
  </si>
  <si>
    <t>Colorado AMY</t>
  </si>
  <si>
    <t>CA TMY</t>
  </si>
  <si>
    <t>CA AMY</t>
  </si>
  <si>
    <t>AZ TMY</t>
  </si>
  <si>
    <t>AZ AMY</t>
  </si>
  <si>
    <t>PV Only</t>
  </si>
  <si>
    <t>W Batt</t>
  </si>
  <si>
    <t>OH TMY</t>
  </si>
  <si>
    <t>OH AMY</t>
  </si>
  <si>
    <t>Max diff</t>
  </si>
  <si>
    <t>Avg Diff</t>
  </si>
  <si>
    <t>Avg Abs Err</t>
  </si>
  <si>
    <t>Load Diffs</t>
  </si>
  <si>
    <t>Energy Diff</t>
  </si>
  <si>
    <t>annual_load</t>
  </si>
  <si>
    <t>AMY/TMY</t>
  </si>
  <si>
    <t>Annual Energy diff</t>
  </si>
  <si>
    <t>Vs TMY</t>
  </si>
  <si>
    <t>Diff vs bill savings (PV only)</t>
  </si>
  <si>
    <t>Diff vs bill savings (w/ battery)</t>
  </si>
  <si>
    <t>AL TMY</t>
  </si>
  <si>
    <t>AL 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</si>
</sst>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 Savings vs annual energy - PV only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 Energy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Graphics!$B$69:$B$74</c:f>
              <c:numCache>
                <c:formatCode>0.00%</c:formatCode>
                <c:ptCount val="6"/>
                <c:pt idx="0">
                  <c:v>-1.5422494366941679E-2</c:v>
                </c:pt>
                <c:pt idx="1">
                  <c:v>-2.1988505746911368E-2</c:v>
                </c:pt>
                <c:pt idx="2">
                  <c:v>1.18189610788177E-2</c:v>
                </c:pt>
                <c:pt idx="3">
                  <c:v>7.0457681219071346E-3</c:v>
                </c:pt>
                <c:pt idx="4">
                  <c:v>1.2511560086709674E-2</c:v>
                </c:pt>
                <c:pt idx="5">
                  <c:v>-7.0457681219071346E-3</c:v>
                </c:pt>
              </c:numCache>
            </c:numRef>
          </c:xVal>
          <c:yVal>
            <c:numRef>
              <c:f>Graphics!$D$10:$D$15</c:f>
              <c:numCache>
                <c:formatCode>0.00%</c:formatCode>
                <c:ptCount val="6"/>
                <c:pt idx="0">
                  <c:v>-1.0860480291792833E-2</c:v>
                </c:pt>
                <c:pt idx="1">
                  <c:v>-2.1590146883686188E-2</c:v>
                </c:pt>
                <c:pt idx="2">
                  <c:v>6.0193244413569271E-3</c:v>
                </c:pt>
                <c:pt idx="3">
                  <c:v>1.0736381933077549E-2</c:v>
                </c:pt>
                <c:pt idx="4">
                  <c:v>1.0709549875637528E-2</c:v>
                </c:pt>
                <c:pt idx="5">
                  <c:v>-6.0193244413570806E-3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50-44D5-9F2E-A5EEE5DC92F6}"/>
            </c:ext>
          </c:extLst>
        </c:ser>
        <c:ser>
          <c:idx val="1"/>
          <c:order val="1"/>
          <c:tx>
            <c:v>OH Energy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Graphics!$C$69:$C$74</c:f>
              <c:numCache>
                <c:formatCode>0.00%</c:formatCode>
                <c:ptCount val="6"/>
                <c:pt idx="0">
                  <c:v>-3.8419861590318849E-2</c:v>
                </c:pt>
                <c:pt idx="1">
                  <c:v>-9.290285036418244E-3</c:v>
                </c:pt>
                <c:pt idx="2">
                  <c:v>-4.1404468729290149E-2</c:v>
                </c:pt>
                <c:pt idx="3">
                  <c:v>2.1841862950855554E-2</c:v>
                </c:pt>
                <c:pt idx="4">
                  <c:v>2.021722521707876E-2</c:v>
                </c:pt>
                <c:pt idx="5">
                  <c:v>9.290285036418244E-3</c:v>
                </c:pt>
              </c:numCache>
            </c:numRef>
          </c:xVal>
          <c:yVal>
            <c:numRef>
              <c:f>Graphics!$G$10:$G$15</c:f>
              <c:numCache>
                <c:formatCode>0.00%</c:formatCode>
                <c:ptCount val="6"/>
                <c:pt idx="0">
                  <c:v>-4.5199404222482253E-2</c:v>
                </c:pt>
                <c:pt idx="1">
                  <c:v>-7.8055581692605749E-3</c:v>
                </c:pt>
                <c:pt idx="2">
                  <c:v>-4.9525877369903749E-2</c:v>
                </c:pt>
                <c:pt idx="3">
                  <c:v>1.7905568265956771E-2</c:v>
                </c:pt>
                <c:pt idx="4">
                  <c:v>2.505233685555134E-2</c:v>
                </c:pt>
                <c:pt idx="5">
                  <c:v>7.8055581692607501E-3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50-44D5-9F2E-A5EEE5DC92F6}"/>
            </c:ext>
          </c:extLst>
        </c:ser>
        <c:ser>
          <c:idx val="2"/>
          <c:order val="2"/>
          <c:tx>
            <c:v>CA Energy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Graphics!$D$69:$D$74</c:f>
              <c:numCache>
                <c:formatCode>0.00%</c:formatCode>
                <c:ptCount val="6"/>
                <c:pt idx="0">
                  <c:v>1.8763399321033184E-3</c:v>
                </c:pt>
                <c:pt idx="1">
                  <c:v>-8.1108502381118056E-3</c:v>
                </c:pt>
                <c:pt idx="2">
                  <c:v>2.6632720441781658E-2</c:v>
                </c:pt>
                <c:pt idx="3">
                  <c:v>-1.8763399321033184E-3</c:v>
                </c:pt>
                <c:pt idx="4">
                  <c:v>3.7571540441185262E-2</c:v>
                </c:pt>
                <c:pt idx="5">
                  <c:v>-6.1254779235060251E-2</c:v>
                </c:pt>
              </c:numCache>
            </c:numRef>
          </c:xVal>
          <c:yVal>
            <c:numRef>
              <c:f>Graphics!$J$10:$J$15</c:f>
              <c:numCache>
                <c:formatCode>0.00%</c:formatCode>
                <c:ptCount val="6"/>
                <c:pt idx="0">
                  <c:v>5.5753893325958025E-3</c:v>
                </c:pt>
                <c:pt idx="1">
                  <c:v>-2.8397835832805553E-2</c:v>
                </c:pt>
                <c:pt idx="2">
                  <c:v>5.6859925294414811E-2</c:v>
                </c:pt>
                <c:pt idx="3">
                  <c:v>-5.5753893325959638E-3</c:v>
                </c:pt>
                <c:pt idx="4">
                  <c:v>5.5737126270594343E-2</c:v>
                </c:pt>
                <c:pt idx="5">
                  <c:v>-8.7282138659364752E-2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450-44D5-9F2E-A5EEE5DC92F6}"/>
            </c:ext>
          </c:extLst>
        </c:ser>
        <c:ser>
          <c:idx val="3"/>
          <c:order val="3"/>
          <c:tx>
            <c:v>AZ Energy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Graphics!$E$69:$E$74</c:f>
              <c:numCache>
                <c:formatCode>0.00%</c:formatCode>
                <c:ptCount val="6"/>
                <c:pt idx="0">
                  <c:v>-9.5372438632758197E-3</c:v>
                </c:pt>
                <c:pt idx="1">
                  <c:v>-7.3423052741039404E-3</c:v>
                </c:pt>
                <c:pt idx="2">
                  <c:v>3.876471310148185E-2</c:v>
                </c:pt>
                <c:pt idx="3">
                  <c:v>2.1341221661580994E-3</c:v>
                </c:pt>
                <c:pt idx="4">
                  <c:v>-2.1341221661582608E-3</c:v>
                </c:pt>
                <c:pt idx="5">
                  <c:v>1.2469883413882133E-2</c:v>
                </c:pt>
              </c:numCache>
            </c:numRef>
          </c:xVal>
          <c:yVal>
            <c:numRef>
              <c:f>Graphics!$M$10:$M$15</c:f>
              <c:numCache>
                <c:formatCode>0.00%</c:formatCode>
                <c:ptCount val="6"/>
                <c:pt idx="0">
                  <c:v>-4.9546915771842412E-3</c:v>
                </c:pt>
                <c:pt idx="1">
                  <c:v>-8.3009097164147682E-3</c:v>
                </c:pt>
                <c:pt idx="2">
                  <c:v>3.0560847914629458E-2</c:v>
                </c:pt>
                <c:pt idx="3">
                  <c:v>3.497133098163597E-3</c:v>
                </c:pt>
                <c:pt idx="4">
                  <c:v>-3.4706114138981226E-3</c:v>
                </c:pt>
                <c:pt idx="5">
                  <c:v>3.470611413898244E-3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450-44D5-9F2E-A5EEE5DC9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490456"/>
        <c:axId val="1031487576"/>
      </c:scatterChart>
      <c:valAx>
        <c:axId val="1031490456"/>
        <c:scaling>
          <c:orientation val="minMax"/>
          <c:max val="8.0000000000000016E-2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Energy Production - % Diff from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87576"/>
        <c:crosses val="autoZero"/>
        <c:crossBetween val="midCat"/>
      </c:valAx>
      <c:valAx>
        <c:axId val="103148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Bill Savings - % Diff</a:t>
                </a:r>
                <a:r>
                  <a:rPr lang="en-US" baseline="0"/>
                  <a:t> from Median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380016380016381E-3"/>
              <c:y val="0.39234013795196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90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</a:t>
            </a:r>
            <a:r>
              <a:rPr lang="en-US" baseline="0"/>
              <a:t> savings vs annual energy - W/Batt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 Energy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Graphics!$B$69:$B$74</c:f>
              <c:numCache>
                <c:formatCode>0.00%</c:formatCode>
                <c:ptCount val="6"/>
                <c:pt idx="0">
                  <c:v>-1.5422494366941679E-2</c:v>
                </c:pt>
                <c:pt idx="1">
                  <c:v>-2.1988505746911368E-2</c:v>
                </c:pt>
                <c:pt idx="2">
                  <c:v>1.18189610788177E-2</c:v>
                </c:pt>
                <c:pt idx="3">
                  <c:v>7.0457681219071346E-3</c:v>
                </c:pt>
                <c:pt idx="4">
                  <c:v>1.2511560086709674E-2</c:v>
                </c:pt>
                <c:pt idx="5">
                  <c:v>-7.0457681219071346E-3</c:v>
                </c:pt>
              </c:numCache>
            </c:numRef>
          </c:xVal>
          <c:yVal>
            <c:numRef>
              <c:f>Graphics!$D$29:$D$34</c:f>
              <c:numCache>
                <c:formatCode>0.00%</c:formatCode>
                <c:ptCount val="6"/>
                <c:pt idx="0">
                  <c:v>-1.1995615304663006E-2</c:v>
                </c:pt>
                <c:pt idx="1">
                  <c:v>-2.2719069860507781E-2</c:v>
                </c:pt>
                <c:pt idx="2">
                  <c:v>8.9145874262788333E-3</c:v>
                </c:pt>
                <c:pt idx="3">
                  <c:v>8.7504423336422742E-3</c:v>
                </c:pt>
                <c:pt idx="4">
                  <c:v>6.832996231427909E-3</c:v>
                </c:pt>
                <c:pt idx="5">
                  <c:v>-6.8329962314280564E-3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71-470B-AC72-2AA9624F1363}"/>
            </c:ext>
          </c:extLst>
        </c:ser>
        <c:ser>
          <c:idx val="1"/>
          <c:order val="1"/>
          <c:tx>
            <c:v>OH Energy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Graphics!$C$69:$C$74</c:f>
              <c:numCache>
                <c:formatCode>0.00%</c:formatCode>
                <c:ptCount val="6"/>
                <c:pt idx="0">
                  <c:v>-3.8419861590318849E-2</c:v>
                </c:pt>
                <c:pt idx="1">
                  <c:v>-9.290285036418244E-3</c:v>
                </c:pt>
                <c:pt idx="2">
                  <c:v>-4.1404468729290149E-2</c:v>
                </c:pt>
                <c:pt idx="3">
                  <c:v>2.1841862950855554E-2</c:v>
                </c:pt>
                <c:pt idx="4">
                  <c:v>2.021722521707876E-2</c:v>
                </c:pt>
                <c:pt idx="5">
                  <c:v>9.290285036418244E-3</c:v>
                </c:pt>
              </c:numCache>
            </c:numRef>
          </c:xVal>
          <c:yVal>
            <c:numRef>
              <c:f>Graphics!$G$29:$G$34</c:f>
              <c:numCache>
                <c:formatCode>0.00%</c:formatCode>
                <c:ptCount val="6"/>
                <c:pt idx="0">
                  <c:v>-4.4018020387807257E-2</c:v>
                </c:pt>
                <c:pt idx="1">
                  <c:v>-7.1500633564671586E-3</c:v>
                </c:pt>
                <c:pt idx="2">
                  <c:v>-4.9974842003049705E-2</c:v>
                </c:pt>
                <c:pt idx="3">
                  <c:v>1.9285410238185328E-2</c:v>
                </c:pt>
                <c:pt idx="4">
                  <c:v>2.5754300319695222E-2</c:v>
                </c:pt>
                <c:pt idx="5">
                  <c:v>7.1500633564673339E-3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71-470B-AC72-2AA9624F1363}"/>
            </c:ext>
          </c:extLst>
        </c:ser>
        <c:ser>
          <c:idx val="2"/>
          <c:order val="2"/>
          <c:tx>
            <c:v>CA Energy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Graphics!$D$69:$D$74</c:f>
              <c:numCache>
                <c:formatCode>0.00%</c:formatCode>
                <c:ptCount val="6"/>
                <c:pt idx="0">
                  <c:v>1.8763399321033184E-3</c:v>
                </c:pt>
                <c:pt idx="1">
                  <c:v>-8.1108502381118056E-3</c:v>
                </c:pt>
                <c:pt idx="2">
                  <c:v>2.6632720441781658E-2</c:v>
                </c:pt>
                <c:pt idx="3">
                  <c:v>-1.8763399321033184E-3</c:v>
                </c:pt>
                <c:pt idx="4">
                  <c:v>3.7571540441185262E-2</c:v>
                </c:pt>
                <c:pt idx="5">
                  <c:v>-6.1254779235060251E-2</c:v>
                </c:pt>
              </c:numCache>
            </c:numRef>
          </c:xVal>
          <c:yVal>
            <c:numRef>
              <c:f>Graphics!$J$29:$J$34</c:f>
              <c:numCache>
                <c:formatCode>0.00%</c:formatCode>
                <c:ptCount val="6"/>
                <c:pt idx="0">
                  <c:v>6.2867438129876625E-3</c:v>
                </c:pt>
                <c:pt idx="1">
                  <c:v>-1.8520630068406933E-2</c:v>
                </c:pt>
                <c:pt idx="2">
                  <c:v>4.137860299964706E-2</c:v>
                </c:pt>
                <c:pt idx="3">
                  <c:v>-6.2867438129877821E-3</c:v>
                </c:pt>
                <c:pt idx="4">
                  <c:v>4.0103546114231607E-2</c:v>
                </c:pt>
                <c:pt idx="5">
                  <c:v>-7.6603163588632658E-2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71-470B-AC72-2AA9624F1363}"/>
            </c:ext>
          </c:extLst>
        </c:ser>
        <c:ser>
          <c:idx val="3"/>
          <c:order val="3"/>
          <c:tx>
            <c:v>AZ Energy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Graphics!$E$69:$E$74</c:f>
              <c:numCache>
                <c:formatCode>0.00%</c:formatCode>
                <c:ptCount val="6"/>
                <c:pt idx="0">
                  <c:v>-9.5372438632758197E-3</c:v>
                </c:pt>
                <c:pt idx="1">
                  <c:v>-7.3423052741039404E-3</c:v>
                </c:pt>
                <c:pt idx="2">
                  <c:v>3.876471310148185E-2</c:v>
                </c:pt>
                <c:pt idx="3">
                  <c:v>2.1341221661580994E-3</c:v>
                </c:pt>
                <c:pt idx="4">
                  <c:v>-2.1341221661582608E-3</c:v>
                </c:pt>
                <c:pt idx="5">
                  <c:v>1.2469883413882133E-2</c:v>
                </c:pt>
              </c:numCache>
            </c:numRef>
          </c:xVal>
          <c:yVal>
            <c:numRef>
              <c:f>Graphics!$M$29:$M$34</c:f>
              <c:numCache>
                <c:formatCode>0.00%</c:formatCode>
                <c:ptCount val="6"/>
                <c:pt idx="0">
                  <c:v>5.0466310627940983E-3</c:v>
                </c:pt>
                <c:pt idx="1">
                  <c:v>-5.0466310627940983E-3</c:v>
                </c:pt>
                <c:pt idx="2">
                  <c:v>6.5560511493858954E-3</c:v>
                </c:pt>
                <c:pt idx="3">
                  <c:v>-1.1966836176062822E-2</c:v>
                </c:pt>
                <c:pt idx="4">
                  <c:v>1.1831195832608925E-2</c:v>
                </c:pt>
                <c:pt idx="5">
                  <c:v>-7.6245633077789967E-3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71-470B-AC72-2AA9624F1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490456"/>
        <c:axId val="1031487576"/>
      </c:scatterChart>
      <c:valAx>
        <c:axId val="1031490456"/>
        <c:scaling>
          <c:orientation val="minMax"/>
          <c:max val="8.0000000000000016E-2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Energy Production - % Diff from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87576"/>
        <c:crosses val="autoZero"/>
        <c:crossBetween val="midCat"/>
      </c:valAx>
      <c:valAx>
        <c:axId val="1031487576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Bill Savings - % Diff</a:t>
                </a:r>
                <a:r>
                  <a:rPr lang="en-US" baseline="0"/>
                  <a:t> from Median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380016380016381E-3"/>
              <c:y val="0.39234013795196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90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 Savings vs annual load- PV only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 Load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Graphics!$B$48:$B$53</c:f>
              <c:numCache>
                <c:formatCode>0.00%</c:formatCode>
                <c:ptCount val="6"/>
                <c:pt idx="0">
                  <c:v>-1.4322831789757599E-3</c:v>
                </c:pt>
                <c:pt idx="1">
                  <c:v>-8.3389760105972224E-3</c:v>
                </c:pt>
                <c:pt idx="2">
                  <c:v>4.2100466335709998E-3</c:v>
                </c:pt>
                <c:pt idx="3">
                  <c:v>1.4322831789757599E-3</c:v>
                </c:pt>
                <c:pt idx="4">
                  <c:v>6.9838734267987134E-3</c:v>
                </c:pt>
                <c:pt idx="5">
                  <c:v>-2.1556973775518976E-2</c:v>
                </c:pt>
              </c:numCache>
            </c:numRef>
          </c:xVal>
          <c:yVal>
            <c:numRef>
              <c:f>Graphics!$D$10:$D$15</c:f>
              <c:numCache>
                <c:formatCode>0.00%</c:formatCode>
                <c:ptCount val="6"/>
                <c:pt idx="0">
                  <c:v>-1.0860480291792833E-2</c:v>
                </c:pt>
                <c:pt idx="1">
                  <c:v>-2.1590146883686188E-2</c:v>
                </c:pt>
                <c:pt idx="2">
                  <c:v>6.0193244413569271E-3</c:v>
                </c:pt>
                <c:pt idx="3">
                  <c:v>1.0736381933077549E-2</c:v>
                </c:pt>
                <c:pt idx="4">
                  <c:v>1.0709549875637528E-2</c:v>
                </c:pt>
                <c:pt idx="5">
                  <c:v>-6.0193244413570806E-3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5-48AF-B6DC-DDF4983CB746}"/>
            </c:ext>
          </c:extLst>
        </c:ser>
        <c:ser>
          <c:idx val="1"/>
          <c:order val="1"/>
          <c:tx>
            <c:v>OH Load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Graphics!$C$48:$C$53</c:f>
              <c:numCache>
                <c:formatCode>0.00%</c:formatCode>
                <c:ptCount val="6"/>
                <c:pt idx="0">
                  <c:v>3.8290387390520972E-2</c:v>
                </c:pt>
                <c:pt idx="1">
                  <c:v>1.1764379711411857E-2</c:v>
                </c:pt>
                <c:pt idx="2">
                  <c:v>-2.3942522675583847E-3</c:v>
                </c:pt>
                <c:pt idx="3">
                  <c:v>2.3942522675583847E-3</c:v>
                </c:pt>
                <c:pt idx="4">
                  <c:v>-2.4145542749081754E-3</c:v>
                </c:pt>
                <c:pt idx="5">
                  <c:v>-1.3117466711597156E-2</c:v>
                </c:pt>
              </c:numCache>
            </c:numRef>
          </c:xVal>
          <c:yVal>
            <c:numRef>
              <c:f>Graphics!$G$10:$G$15</c:f>
              <c:numCache>
                <c:formatCode>0.00%</c:formatCode>
                <c:ptCount val="6"/>
                <c:pt idx="0">
                  <c:v>-4.5199404222482253E-2</c:v>
                </c:pt>
                <c:pt idx="1">
                  <c:v>-7.8055581692605749E-3</c:v>
                </c:pt>
                <c:pt idx="2">
                  <c:v>-4.9525877369903749E-2</c:v>
                </c:pt>
                <c:pt idx="3">
                  <c:v>1.7905568265956771E-2</c:v>
                </c:pt>
                <c:pt idx="4">
                  <c:v>2.505233685555134E-2</c:v>
                </c:pt>
                <c:pt idx="5">
                  <c:v>7.8055581692607501E-3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35-48AF-B6DC-DDF4983CB746}"/>
            </c:ext>
          </c:extLst>
        </c:ser>
        <c:ser>
          <c:idx val="2"/>
          <c:order val="2"/>
          <c:tx>
            <c:v>CA Load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Graphics!$D$48:$D$53</c:f>
              <c:numCache>
                <c:formatCode>0.00%</c:formatCode>
                <c:ptCount val="6"/>
                <c:pt idx="0">
                  <c:v>1.1196421863658537E-2</c:v>
                </c:pt>
                <c:pt idx="1">
                  <c:v>-3.9530421347490859E-2</c:v>
                </c:pt>
                <c:pt idx="2">
                  <c:v>5.9556053165218149E-2</c:v>
                </c:pt>
                <c:pt idx="3">
                  <c:v>-1.1196421863658537E-2</c:v>
                </c:pt>
                <c:pt idx="4">
                  <c:v>7.5274692382553215E-2</c:v>
                </c:pt>
                <c:pt idx="5">
                  <c:v>-8.3589734813586627E-2</c:v>
                </c:pt>
              </c:numCache>
            </c:numRef>
          </c:xVal>
          <c:yVal>
            <c:numRef>
              <c:f>Graphics!$J$10:$J$15</c:f>
              <c:numCache>
                <c:formatCode>0.00%</c:formatCode>
                <c:ptCount val="6"/>
                <c:pt idx="0">
                  <c:v>5.5753893325958025E-3</c:v>
                </c:pt>
                <c:pt idx="1">
                  <c:v>-2.8397835832805553E-2</c:v>
                </c:pt>
                <c:pt idx="2">
                  <c:v>5.6859925294414811E-2</c:v>
                </c:pt>
                <c:pt idx="3">
                  <c:v>-5.5753893325959638E-3</c:v>
                </c:pt>
                <c:pt idx="4">
                  <c:v>5.5737126270594343E-2</c:v>
                </c:pt>
                <c:pt idx="5">
                  <c:v>-8.7282138659364752E-2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35-48AF-B6DC-DDF4983CB746}"/>
            </c:ext>
          </c:extLst>
        </c:ser>
        <c:ser>
          <c:idx val="3"/>
          <c:order val="3"/>
          <c:tx>
            <c:v>AZ Load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Graphics!$E$48:$E$53</c:f>
              <c:numCache>
                <c:formatCode>0.00%</c:formatCode>
                <c:ptCount val="6"/>
                <c:pt idx="0">
                  <c:v>-4.3237678146175224E-4</c:v>
                </c:pt>
                <c:pt idx="1">
                  <c:v>-1.8555086223095246E-2</c:v>
                </c:pt>
                <c:pt idx="2">
                  <c:v>5.4691240142220578E-2</c:v>
                </c:pt>
                <c:pt idx="3">
                  <c:v>4.3237678146191931E-4</c:v>
                </c:pt>
                <c:pt idx="4">
                  <c:v>2.049136958326106E-3</c:v>
                </c:pt>
                <c:pt idx="5">
                  <c:v>-6.6852687776141804E-4</c:v>
                </c:pt>
              </c:numCache>
            </c:numRef>
          </c:xVal>
          <c:yVal>
            <c:numRef>
              <c:f>Graphics!$M$10:$M$15</c:f>
              <c:numCache>
                <c:formatCode>0.00%</c:formatCode>
                <c:ptCount val="6"/>
                <c:pt idx="0">
                  <c:v>-4.9546915771842412E-3</c:v>
                </c:pt>
                <c:pt idx="1">
                  <c:v>-8.3009097164147682E-3</c:v>
                </c:pt>
                <c:pt idx="2">
                  <c:v>3.0560847914629458E-2</c:v>
                </c:pt>
                <c:pt idx="3">
                  <c:v>3.497133098163597E-3</c:v>
                </c:pt>
                <c:pt idx="4">
                  <c:v>-3.4706114138981226E-3</c:v>
                </c:pt>
                <c:pt idx="5">
                  <c:v>3.470611413898244E-3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35-48AF-B6DC-DDF4983CB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490456"/>
        <c:axId val="1031487576"/>
      </c:scatterChart>
      <c:valAx>
        <c:axId val="1031490456"/>
        <c:scaling>
          <c:orientation val="minMax"/>
          <c:max val="8.0000000000000016E-2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Load - % Diff from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87576"/>
        <c:crosses val="autoZero"/>
        <c:crossBetween val="midCat"/>
      </c:valAx>
      <c:valAx>
        <c:axId val="103148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Bill Savings - % Diff</a:t>
                </a:r>
                <a:r>
                  <a:rPr lang="en-US" baseline="0"/>
                  <a:t> from Median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380016380016381E-3"/>
              <c:y val="0.39234013795196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90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 Savings vs annual load- w/Batt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 Load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Graphics!$B$48:$B$53</c:f>
              <c:numCache>
                <c:formatCode>0.00%</c:formatCode>
                <c:ptCount val="6"/>
                <c:pt idx="0">
                  <c:v>-1.4322831789757599E-3</c:v>
                </c:pt>
                <c:pt idx="1">
                  <c:v>-8.3389760105972224E-3</c:v>
                </c:pt>
                <c:pt idx="2">
                  <c:v>4.2100466335709998E-3</c:v>
                </c:pt>
                <c:pt idx="3">
                  <c:v>1.4322831789757599E-3</c:v>
                </c:pt>
                <c:pt idx="4">
                  <c:v>6.9838734267987134E-3</c:v>
                </c:pt>
                <c:pt idx="5">
                  <c:v>-2.1556973775518976E-2</c:v>
                </c:pt>
              </c:numCache>
            </c:numRef>
          </c:xVal>
          <c:yVal>
            <c:numRef>
              <c:f>Graphics!$D$29:$D$34</c:f>
              <c:numCache>
                <c:formatCode>0.00%</c:formatCode>
                <c:ptCount val="6"/>
                <c:pt idx="0">
                  <c:v>-1.1995615304663006E-2</c:v>
                </c:pt>
                <c:pt idx="1">
                  <c:v>-2.2719069860507781E-2</c:v>
                </c:pt>
                <c:pt idx="2">
                  <c:v>8.9145874262788333E-3</c:v>
                </c:pt>
                <c:pt idx="3">
                  <c:v>8.7504423336422742E-3</c:v>
                </c:pt>
                <c:pt idx="4">
                  <c:v>6.832996231427909E-3</c:v>
                </c:pt>
                <c:pt idx="5">
                  <c:v>-6.8329962314280564E-3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9B-4842-949A-E8CCB8820650}"/>
            </c:ext>
          </c:extLst>
        </c:ser>
        <c:ser>
          <c:idx val="1"/>
          <c:order val="1"/>
          <c:tx>
            <c:v>OH Load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Graphics!$C$48:$C$53</c:f>
              <c:numCache>
                <c:formatCode>0.00%</c:formatCode>
                <c:ptCount val="6"/>
                <c:pt idx="0">
                  <c:v>3.8290387390520972E-2</c:v>
                </c:pt>
                <c:pt idx="1">
                  <c:v>1.1764379711411857E-2</c:v>
                </c:pt>
                <c:pt idx="2">
                  <c:v>-2.3942522675583847E-3</c:v>
                </c:pt>
                <c:pt idx="3">
                  <c:v>2.3942522675583847E-3</c:v>
                </c:pt>
                <c:pt idx="4">
                  <c:v>-2.4145542749081754E-3</c:v>
                </c:pt>
                <c:pt idx="5">
                  <c:v>-1.3117466711597156E-2</c:v>
                </c:pt>
              </c:numCache>
            </c:numRef>
          </c:xVal>
          <c:yVal>
            <c:numRef>
              <c:f>Graphics!$G$29:$G$34</c:f>
              <c:numCache>
                <c:formatCode>0.00%</c:formatCode>
                <c:ptCount val="6"/>
                <c:pt idx="0">
                  <c:v>-4.4018020387807257E-2</c:v>
                </c:pt>
                <c:pt idx="1">
                  <c:v>-7.1500633564671586E-3</c:v>
                </c:pt>
                <c:pt idx="2">
                  <c:v>-4.9974842003049705E-2</c:v>
                </c:pt>
                <c:pt idx="3">
                  <c:v>1.9285410238185328E-2</c:v>
                </c:pt>
                <c:pt idx="4">
                  <c:v>2.5754300319695222E-2</c:v>
                </c:pt>
                <c:pt idx="5">
                  <c:v>7.1500633564673339E-3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9B-4842-949A-E8CCB8820650}"/>
            </c:ext>
          </c:extLst>
        </c:ser>
        <c:ser>
          <c:idx val="2"/>
          <c:order val="2"/>
          <c:tx>
            <c:v>CA Load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Graphics!$D$48:$D$53</c:f>
              <c:numCache>
                <c:formatCode>0.00%</c:formatCode>
                <c:ptCount val="6"/>
                <c:pt idx="0">
                  <c:v>1.1196421863658537E-2</c:v>
                </c:pt>
                <c:pt idx="1">
                  <c:v>-3.9530421347490859E-2</c:v>
                </c:pt>
                <c:pt idx="2">
                  <c:v>5.9556053165218149E-2</c:v>
                </c:pt>
                <c:pt idx="3">
                  <c:v>-1.1196421863658537E-2</c:v>
                </c:pt>
                <c:pt idx="4">
                  <c:v>7.5274692382553215E-2</c:v>
                </c:pt>
                <c:pt idx="5">
                  <c:v>-8.3589734813586627E-2</c:v>
                </c:pt>
              </c:numCache>
            </c:numRef>
          </c:xVal>
          <c:yVal>
            <c:numRef>
              <c:f>Graphics!$J$29:$J$34</c:f>
              <c:numCache>
                <c:formatCode>0.00%</c:formatCode>
                <c:ptCount val="6"/>
                <c:pt idx="0">
                  <c:v>6.2867438129876625E-3</c:v>
                </c:pt>
                <c:pt idx="1">
                  <c:v>-1.8520630068406933E-2</c:v>
                </c:pt>
                <c:pt idx="2">
                  <c:v>4.137860299964706E-2</c:v>
                </c:pt>
                <c:pt idx="3">
                  <c:v>-6.2867438129877821E-3</c:v>
                </c:pt>
                <c:pt idx="4">
                  <c:v>4.0103546114231607E-2</c:v>
                </c:pt>
                <c:pt idx="5">
                  <c:v>-7.6603163588632658E-2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9B-4842-949A-E8CCB8820650}"/>
            </c:ext>
          </c:extLst>
        </c:ser>
        <c:ser>
          <c:idx val="3"/>
          <c:order val="3"/>
          <c:tx>
            <c:v>AZ Load vs Bill Savings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Graphics!$E$48:$E$53</c:f>
              <c:numCache>
                <c:formatCode>0.00%</c:formatCode>
                <c:ptCount val="6"/>
                <c:pt idx="0">
                  <c:v>-4.3237678146175224E-4</c:v>
                </c:pt>
                <c:pt idx="1">
                  <c:v>-1.8555086223095246E-2</c:v>
                </c:pt>
                <c:pt idx="2">
                  <c:v>5.4691240142220578E-2</c:v>
                </c:pt>
                <c:pt idx="3">
                  <c:v>4.3237678146191931E-4</c:v>
                </c:pt>
                <c:pt idx="4">
                  <c:v>2.049136958326106E-3</c:v>
                </c:pt>
                <c:pt idx="5">
                  <c:v>-6.6852687776141804E-4</c:v>
                </c:pt>
              </c:numCache>
            </c:numRef>
          </c:xVal>
          <c:yVal>
            <c:numRef>
              <c:f>Graphics!$M$29:$M$34</c:f>
              <c:numCache>
                <c:formatCode>0.00%</c:formatCode>
                <c:ptCount val="6"/>
                <c:pt idx="0">
                  <c:v>5.0466310627940983E-3</c:v>
                </c:pt>
                <c:pt idx="1">
                  <c:v>-5.0466310627940983E-3</c:v>
                </c:pt>
                <c:pt idx="2">
                  <c:v>6.5560511493858954E-3</c:v>
                </c:pt>
                <c:pt idx="3">
                  <c:v>-1.1966836176062822E-2</c:v>
                </c:pt>
                <c:pt idx="4">
                  <c:v>1.1831195832608925E-2</c:v>
                </c:pt>
                <c:pt idx="5">
                  <c:v>-7.6245633077789967E-3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9B-4842-949A-E8CCB8820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490456"/>
        <c:axId val="1031487576"/>
      </c:scatterChart>
      <c:valAx>
        <c:axId val="1031490456"/>
        <c:scaling>
          <c:orientation val="minMax"/>
          <c:max val="8.0000000000000016E-2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Load - % Diff from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87576"/>
        <c:crosses val="autoZero"/>
        <c:crossBetween val="midCat"/>
      </c:valAx>
      <c:valAx>
        <c:axId val="1031487576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Bill Savings - % Diff</a:t>
                </a:r>
                <a:r>
                  <a:rPr lang="en-US" baseline="0"/>
                  <a:t> from Median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380016380016381E-3"/>
              <c:y val="0.39234013795196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90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</a:t>
            </a:r>
            <a:r>
              <a:rPr lang="en-US" baseline="0"/>
              <a:t> savings vs annual energy - W/Batt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 Energy vs Load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Graphics!$B$69:$B$74</c:f>
              <c:numCache>
                <c:formatCode>0.00%</c:formatCode>
                <c:ptCount val="6"/>
                <c:pt idx="0">
                  <c:v>-1.5422494366941679E-2</c:v>
                </c:pt>
                <c:pt idx="1">
                  <c:v>-2.1988505746911368E-2</c:v>
                </c:pt>
                <c:pt idx="2">
                  <c:v>1.18189610788177E-2</c:v>
                </c:pt>
                <c:pt idx="3">
                  <c:v>7.0457681219071346E-3</c:v>
                </c:pt>
                <c:pt idx="4">
                  <c:v>1.2511560086709674E-2</c:v>
                </c:pt>
                <c:pt idx="5">
                  <c:v>-7.0457681219071346E-3</c:v>
                </c:pt>
              </c:numCache>
            </c:numRef>
          </c:xVal>
          <c:yVal>
            <c:numRef>
              <c:f>Graphics!$B$48:$B$53</c:f>
              <c:numCache>
                <c:formatCode>0.00%</c:formatCode>
                <c:ptCount val="6"/>
                <c:pt idx="0">
                  <c:v>-1.4322831789757599E-3</c:v>
                </c:pt>
                <c:pt idx="1">
                  <c:v>-8.3389760105972224E-3</c:v>
                </c:pt>
                <c:pt idx="2">
                  <c:v>4.2100466335709998E-3</c:v>
                </c:pt>
                <c:pt idx="3">
                  <c:v>1.4322831789757599E-3</c:v>
                </c:pt>
                <c:pt idx="4">
                  <c:v>6.9838734267987134E-3</c:v>
                </c:pt>
                <c:pt idx="5">
                  <c:v>-2.1556973775518976E-2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EC-4D15-84C9-77701EA45227}"/>
            </c:ext>
          </c:extLst>
        </c:ser>
        <c:ser>
          <c:idx val="1"/>
          <c:order val="1"/>
          <c:tx>
            <c:v>OH Energy vs Load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Graphics!$C$69:$C$74</c:f>
              <c:numCache>
                <c:formatCode>0.00%</c:formatCode>
                <c:ptCount val="6"/>
                <c:pt idx="0">
                  <c:v>-3.8419861590318849E-2</c:v>
                </c:pt>
                <c:pt idx="1">
                  <c:v>-9.290285036418244E-3</c:v>
                </c:pt>
                <c:pt idx="2">
                  <c:v>-4.1404468729290149E-2</c:v>
                </c:pt>
                <c:pt idx="3">
                  <c:v>2.1841862950855554E-2</c:v>
                </c:pt>
                <c:pt idx="4">
                  <c:v>2.021722521707876E-2</c:v>
                </c:pt>
                <c:pt idx="5">
                  <c:v>9.290285036418244E-3</c:v>
                </c:pt>
              </c:numCache>
            </c:numRef>
          </c:xVal>
          <c:yVal>
            <c:numRef>
              <c:f>Graphics!$C$48:$C$53</c:f>
              <c:numCache>
                <c:formatCode>0.00%</c:formatCode>
                <c:ptCount val="6"/>
                <c:pt idx="0">
                  <c:v>3.8290387390520972E-2</c:v>
                </c:pt>
                <c:pt idx="1">
                  <c:v>1.1764379711411857E-2</c:v>
                </c:pt>
                <c:pt idx="2">
                  <c:v>-2.3942522675583847E-3</c:v>
                </c:pt>
                <c:pt idx="3">
                  <c:v>2.3942522675583847E-3</c:v>
                </c:pt>
                <c:pt idx="4">
                  <c:v>-2.4145542749081754E-3</c:v>
                </c:pt>
                <c:pt idx="5">
                  <c:v>-1.3117466711597156E-2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EC-4D15-84C9-77701EA45227}"/>
            </c:ext>
          </c:extLst>
        </c:ser>
        <c:ser>
          <c:idx val="2"/>
          <c:order val="2"/>
          <c:tx>
            <c:v>CA Energy vs Load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Graphics!$D$69:$D$74</c:f>
              <c:numCache>
                <c:formatCode>0.00%</c:formatCode>
                <c:ptCount val="6"/>
                <c:pt idx="0">
                  <c:v>1.8763399321033184E-3</c:v>
                </c:pt>
                <c:pt idx="1">
                  <c:v>-8.1108502381118056E-3</c:v>
                </c:pt>
                <c:pt idx="2">
                  <c:v>2.6632720441781658E-2</c:v>
                </c:pt>
                <c:pt idx="3">
                  <c:v>-1.8763399321033184E-3</c:v>
                </c:pt>
                <c:pt idx="4">
                  <c:v>3.7571540441185262E-2</c:v>
                </c:pt>
                <c:pt idx="5">
                  <c:v>-6.1254779235060251E-2</c:v>
                </c:pt>
              </c:numCache>
            </c:numRef>
          </c:xVal>
          <c:yVal>
            <c:numRef>
              <c:f>Graphics!$D$48:$D$53</c:f>
              <c:numCache>
                <c:formatCode>0.00%</c:formatCode>
                <c:ptCount val="6"/>
                <c:pt idx="0">
                  <c:v>1.1196421863658537E-2</c:v>
                </c:pt>
                <c:pt idx="1">
                  <c:v>-3.9530421347490859E-2</c:v>
                </c:pt>
                <c:pt idx="2">
                  <c:v>5.9556053165218149E-2</c:v>
                </c:pt>
                <c:pt idx="3">
                  <c:v>-1.1196421863658537E-2</c:v>
                </c:pt>
                <c:pt idx="4">
                  <c:v>7.5274692382553215E-2</c:v>
                </c:pt>
                <c:pt idx="5">
                  <c:v>-8.3589734813586627E-2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EC-4D15-84C9-77701EA45227}"/>
            </c:ext>
          </c:extLst>
        </c:ser>
        <c:ser>
          <c:idx val="3"/>
          <c:order val="3"/>
          <c:tx>
            <c:v>AZ Energy vs Load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Graphics!$E$69:$E$74</c:f>
              <c:numCache>
                <c:formatCode>0.00%</c:formatCode>
                <c:ptCount val="6"/>
                <c:pt idx="0">
                  <c:v>-9.5372438632758197E-3</c:v>
                </c:pt>
                <c:pt idx="1">
                  <c:v>-7.3423052741039404E-3</c:v>
                </c:pt>
                <c:pt idx="2">
                  <c:v>3.876471310148185E-2</c:v>
                </c:pt>
                <c:pt idx="3">
                  <c:v>2.1341221661580994E-3</c:v>
                </c:pt>
                <c:pt idx="4">
                  <c:v>-2.1341221661582608E-3</c:v>
                </c:pt>
                <c:pt idx="5">
                  <c:v>1.2469883413882133E-2</c:v>
                </c:pt>
              </c:numCache>
            </c:numRef>
          </c:xVal>
          <c:yVal>
            <c:numRef>
              <c:f>Graphics!$E$48:$E$53</c:f>
              <c:numCache>
                <c:formatCode>0.00%</c:formatCode>
                <c:ptCount val="6"/>
                <c:pt idx="0">
                  <c:v>-4.3237678146175224E-4</c:v>
                </c:pt>
                <c:pt idx="1">
                  <c:v>-1.8555086223095246E-2</c:v>
                </c:pt>
                <c:pt idx="2">
                  <c:v>5.4691240142220578E-2</c:v>
                </c:pt>
                <c:pt idx="3">
                  <c:v>4.3237678146191931E-4</c:v>
                </c:pt>
                <c:pt idx="4">
                  <c:v>2.049136958326106E-3</c:v>
                </c:pt>
                <c:pt idx="5">
                  <c:v>-6.6852687776141804E-4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EC-4D15-84C9-77701EA45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490456"/>
        <c:axId val="1031487576"/>
      </c:scatterChart>
      <c:valAx>
        <c:axId val="1031490456"/>
        <c:scaling>
          <c:orientation val="minMax"/>
          <c:max val="8.0000000000000016E-2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Energy Production - % Diff from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87576"/>
        <c:crosses val="autoZero"/>
        <c:crossBetween val="midCat"/>
      </c:valAx>
      <c:valAx>
        <c:axId val="1031487576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- % Diff</a:t>
                </a:r>
                <a:r>
                  <a:rPr lang="en-US" baseline="0"/>
                  <a:t> from Median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380016380016381E-3"/>
              <c:y val="0.39234013795196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90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Bill Savings vs annual energy - PV only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446377652602833E-2"/>
          <c:y val="0.11047327379854555"/>
          <c:w val="0.74649796396162038"/>
          <c:h val="0.80072926148702117"/>
        </c:manualLayout>
      </c:layout>
      <c:scatterChart>
        <c:scatterStyle val="lineMarker"/>
        <c:varyColors val="0"/>
        <c:ser>
          <c:idx val="3"/>
          <c:order val="0"/>
          <c:tx>
            <c:v>AZ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Graphics!$E$86:$E$91</c:f>
              <c:numCache>
                <c:formatCode>0.00%</c:formatCode>
                <c:ptCount val="6"/>
                <c:pt idx="0">
                  <c:v>-1.6016170640467608E-3</c:v>
                </c:pt>
                <c:pt idx="1">
                  <c:v>5.793820890784172E-4</c:v>
                </c:pt>
                <c:pt idx="2">
                  <c:v>4.6393587792309197E-2</c:v>
                </c:pt>
                <c:pt idx="3">
                  <c:v>9.9956274108491273E-3</c:v>
                </c:pt>
                <c:pt idx="4">
                  <c:v>5.7544894947193191E-3</c:v>
                </c:pt>
                <c:pt idx="5">
                  <c:v>2.0265749153387289E-2</c:v>
                </c:pt>
              </c:numCache>
            </c:numRef>
          </c:xVal>
          <c:yVal>
            <c:numRef>
              <c:f>Graphics!$L$10:$L$15</c:f>
              <c:numCache>
                <c:formatCode>0.00%</c:formatCode>
                <c:ptCount val="6"/>
                <c:pt idx="0">
                  <c:v>1.9237090035934806E-2</c:v>
                </c:pt>
                <c:pt idx="1">
                  <c:v>1.5809517833960708E-2</c:v>
                </c:pt>
                <c:pt idx="2">
                  <c:v>5.5616091892713472E-2</c:v>
                </c:pt>
                <c:pt idx="3">
                  <c:v>2.7894397511962814E-2</c:v>
                </c:pt>
                <c:pt idx="4">
                  <c:v>2.0757251514214998E-2</c:v>
                </c:pt>
                <c:pt idx="5">
                  <c:v>2.786723102611071E-2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D9-484B-8C49-753CDA97DE6A}"/>
            </c:ext>
          </c:extLst>
        </c:ser>
        <c:ser>
          <c:idx val="2"/>
          <c:order val="1"/>
          <c:tx>
            <c:v>CA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Graphics!$D$86:$D$91</c:f>
              <c:numCache>
                <c:formatCode>0.00%</c:formatCode>
                <c:ptCount val="6"/>
                <c:pt idx="0">
                  <c:v>4.0645669371219464E-3</c:v>
                </c:pt>
                <c:pt idx="1">
                  <c:v>-5.9444365431432023E-3</c:v>
                </c:pt>
                <c:pt idx="2">
                  <c:v>2.8875018571367882E-2</c:v>
                </c:pt>
                <c:pt idx="3">
                  <c:v>3.0369073660837219E-4</c:v>
                </c:pt>
                <c:pt idx="4">
                  <c:v>3.9837730362973459E-2</c:v>
                </c:pt>
                <c:pt idx="5">
                  <c:v>-5.9204438727918196E-2</c:v>
                </c:pt>
              </c:numCache>
            </c:numRef>
          </c:xVal>
          <c:yVal>
            <c:numRef>
              <c:f>Graphics!$I$10:$I$15</c:f>
              <c:numCache>
                <c:formatCode>0.00%</c:formatCode>
                <c:ptCount val="6"/>
                <c:pt idx="0">
                  <c:v>2.5777705400710355E-2</c:v>
                </c:pt>
                <c:pt idx="1">
                  <c:v>-8.8780522132030776E-3</c:v>
                </c:pt>
                <c:pt idx="2">
                  <c:v>7.8092563321378122E-2</c:v>
                </c:pt>
                <c:pt idx="3">
                  <c:v>1.4402904193410329E-2</c:v>
                </c:pt>
                <c:pt idx="4">
                  <c:v>7.6947206922943254E-2</c:v>
                </c:pt>
                <c:pt idx="5">
                  <c:v>-6.8945358631310252E-2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D9-484B-8C49-753CDA97DE6A}"/>
            </c:ext>
          </c:extLst>
        </c:ser>
        <c:ser>
          <c:idx val="0"/>
          <c:order val="2"/>
          <c:tx>
            <c:v>CO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5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Graphics!$B$86:$B$91</c:f>
              <c:numCache>
                <c:formatCode>0.00%</c:formatCode>
                <c:ptCount val="6"/>
                <c:pt idx="0">
                  <c:v>1.6155622599828681E-2</c:v>
                </c:pt>
                <c:pt idx="1">
                  <c:v>9.3790211198662935E-3</c:v>
                </c:pt>
                <c:pt idx="2">
                  <c:v>4.4270786678468253E-2</c:v>
                </c:pt>
                <c:pt idx="3">
                  <c:v>3.9344504254617892E-2</c:v>
                </c:pt>
                <c:pt idx="4">
                  <c:v>4.4985599247361931E-2</c:v>
                </c:pt>
                <c:pt idx="5">
                  <c:v>2.4801013566178625E-2</c:v>
                </c:pt>
              </c:numCache>
            </c:numRef>
          </c:xVal>
          <c:yVal>
            <c:numRef>
              <c:f>Graphics!$C$10:$C$15</c:f>
              <c:numCache>
                <c:formatCode>0.00%</c:formatCode>
                <c:ptCount val="6"/>
                <c:pt idx="0">
                  <c:v>2.1559245841040561E-2</c:v>
                </c:pt>
                <c:pt idx="1">
                  <c:v>1.0477907067948331E-2</c:v>
                </c:pt>
                <c:pt idx="2">
                  <c:v>3.8992297750873602E-2</c:v>
                </c:pt>
                <c:pt idx="3">
                  <c:v>4.3863960036950762E-2</c:v>
                </c:pt>
                <c:pt idx="4">
                  <c:v>4.3836248540426108E-2</c:v>
                </c:pt>
                <c:pt idx="5">
                  <c:v>2.6559073894649222E-2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D9-484B-8C49-753CDA97DE6A}"/>
            </c:ext>
          </c:extLst>
        </c:ser>
        <c:ser>
          <c:idx val="1"/>
          <c:order val="3"/>
          <c:tx>
            <c:v>OH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Graphics!$C$86:$C$91</c:f>
              <c:numCache>
                <c:formatCode>0.00%</c:formatCode>
                <c:ptCount val="6"/>
                <c:pt idx="0">
                  <c:v>-4.1411240689592038E-2</c:v>
                </c:pt>
                <c:pt idx="1">
                  <c:v>-4.2445701106456832E-3</c:v>
                </c:pt>
                <c:pt idx="2">
                  <c:v>-4.5219325923390744E-2</c:v>
                </c:pt>
                <c:pt idx="3">
                  <c:v>3.5477198124364034E-2</c:v>
                </c:pt>
                <c:pt idx="4">
                  <c:v>3.340430923943026E-2</c:v>
                </c:pt>
                <c:pt idx="5">
                  <c:v>1.9462534789705881E-2</c:v>
                </c:pt>
              </c:numCache>
            </c:numRef>
          </c:xVal>
          <c:yVal>
            <c:numRef>
              <c:f>Graphics!$F$10:$F$15</c:f>
              <c:numCache>
                <c:formatCode>0.00%</c:formatCode>
                <c:ptCount val="6"/>
                <c:pt idx="0">
                  <c:v>-3.5885499856489624E-2</c:v>
                </c:pt>
                <c:pt idx="1">
                  <c:v>1.8731162938147271E-3</c:v>
                </c:pt>
                <c:pt idx="2">
                  <c:v>-4.0254176954469298E-2</c:v>
                </c:pt>
                <c:pt idx="3">
                  <c:v>2.7835050042955618E-2</c:v>
                </c:pt>
                <c:pt idx="4">
                  <c:v>3.5051534046913913E-2</c:v>
                </c:pt>
                <c:pt idx="5">
                  <c:v>1.7636516203655955E-2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D9-484B-8C49-753CDA97DE6A}"/>
            </c:ext>
          </c:extLst>
        </c:ser>
        <c:ser>
          <c:idx val="4"/>
          <c:order val="4"/>
          <c:tx>
            <c:v>Expected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Lit>
              <c:formatCode>General</c:formatCode>
              <c:ptCount val="2"/>
              <c:pt idx="0">
                <c:v>-0.08</c:v>
              </c:pt>
              <c:pt idx="1">
                <c:v>0.08</c:v>
              </c:pt>
            </c:numLit>
          </c:xVal>
          <c:yVal>
            <c:numLit>
              <c:formatCode>General</c:formatCode>
              <c:ptCount val="2"/>
              <c:pt idx="0">
                <c:v>-0.08</c:v>
              </c:pt>
              <c:pt idx="1">
                <c:v>0.08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89D9-484B-8C49-753CDA97D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490456"/>
        <c:axId val="1031487576"/>
      </c:scatterChart>
      <c:valAx>
        <c:axId val="1031490456"/>
        <c:scaling>
          <c:orientation val="minMax"/>
          <c:max val="8.0000000000000016E-2"/>
          <c:min val="-8.000000000000001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Energy Production - % Diff AMY vs TMY</a:t>
                </a:r>
              </a:p>
            </c:rich>
          </c:tx>
          <c:layout>
            <c:manualLayout>
              <c:xMode val="edge"/>
              <c:yMode val="edge"/>
              <c:x val="0.34843368989217366"/>
              <c:y val="0.935692250605254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87576"/>
        <c:crosses val="autoZero"/>
        <c:crossBetween val="midCat"/>
      </c:valAx>
      <c:valAx>
        <c:axId val="1031487576"/>
        <c:scaling>
          <c:orientation val="minMax"/>
          <c:max val="0.12000000000000001"/>
          <c:min val="-0.12000000000000001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Bill Savings - % diff</a:t>
                </a:r>
                <a:r>
                  <a:rPr lang="en-US" sz="1600" baseline="0"/>
                  <a:t> AMY vs  TMY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4.9650321664048696E-5"/>
              <c:y val="0.40178495288977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90456"/>
        <c:crosses val="autoZero"/>
        <c:crossBetween val="midCat"/>
        <c:majorUnit val="3.0000000000000006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05737965654127"/>
          <c:y val="0.40786857933157739"/>
          <c:w val="9.8539189242185896E-2"/>
          <c:h val="0.22162919943852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Bill Savings vs annual energy - w/ battery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2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446377652602833E-2"/>
          <c:y val="0.11047327379854555"/>
          <c:w val="0.74649796396162038"/>
          <c:h val="0.80072926148702117"/>
        </c:manualLayout>
      </c:layout>
      <c:scatterChart>
        <c:scatterStyle val="lineMarker"/>
        <c:varyColors val="0"/>
        <c:ser>
          <c:idx val="3"/>
          <c:order val="0"/>
          <c:tx>
            <c:v>AZ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Graphics!$E$86:$E$91</c:f>
              <c:numCache>
                <c:formatCode>0.00%</c:formatCode>
                <c:ptCount val="6"/>
                <c:pt idx="0">
                  <c:v>-1.6016170640467608E-3</c:v>
                </c:pt>
                <c:pt idx="1">
                  <c:v>5.793820890784172E-4</c:v>
                </c:pt>
                <c:pt idx="2">
                  <c:v>4.6393587792309197E-2</c:v>
                </c:pt>
                <c:pt idx="3">
                  <c:v>9.9956274108491273E-3</c:v>
                </c:pt>
                <c:pt idx="4">
                  <c:v>5.7544894947193191E-3</c:v>
                </c:pt>
                <c:pt idx="5">
                  <c:v>2.0265749153387289E-2</c:v>
                </c:pt>
              </c:numCache>
            </c:numRef>
          </c:xVal>
          <c:yVal>
            <c:numRef>
              <c:f>Graphics!$L$29:$L$34</c:f>
              <c:numCache>
                <c:formatCode>0.00%</c:formatCode>
                <c:ptCount val="6"/>
                <c:pt idx="0">
                  <c:v>9.5979314942311489E-2</c:v>
                </c:pt>
                <c:pt idx="1">
                  <c:v>8.4972853980159191E-2</c:v>
                </c:pt>
                <c:pt idx="2">
                  <c:v>9.7625301448145255E-2</c:v>
                </c:pt>
                <c:pt idx="3">
                  <c:v>7.7426535804573288E-2</c:v>
                </c:pt>
                <c:pt idx="4">
                  <c:v>0.1033777205672728</c:v>
                </c:pt>
                <c:pt idx="5">
                  <c:v>8.2161680519641692E-2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F8-4F72-8024-2C01FD9D3B6C}"/>
            </c:ext>
          </c:extLst>
        </c:ser>
        <c:ser>
          <c:idx val="2"/>
          <c:order val="1"/>
          <c:tx>
            <c:v>CA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Graphics!$D$86:$D$91</c:f>
              <c:numCache>
                <c:formatCode>0.00%</c:formatCode>
                <c:ptCount val="6"/>
                <c:pt idx="0">
                  <c:v>4.0645669371219464E-3</c:v>
                </c:pt>
                <c:pt idx="1">
                  <c:v>-5.9444365431432023E-3</c:v>
                </c:pt>
                <c:pt idx="2">
                  <c:v>2.8875018571367882E-2</c:v>
                </c:pt>
                <c:pt idx="3">
                  <c:v>3.0369073660837219E-4</c:v>
                </c:pt>
                <c:pt idx="4">
                  <c:v>3.9837730362973459E-2</c:v>
                </c:pt>
                <c:pt idx="5">
                  <c:v>-5.9204438727918196E-2</c:v>
                </c:pt>
              </c:numCache>
            </c:numRef>
          </c:xVal>
          <c:yVal>
            <c:numRef>
              <c:f>Graphics!$I$29:$I$34</c:f>
              <c:numCache>
                <c:formatCode>0.00%</c:formatCode>
                <c:ptCount val="6"/>
                <c:pt idx="0">
                  <c:v>2.360389553268756E-2</c:v>
                </c:pt>
                <c:pt idx="1">
                  <c:v>-1.6303875372785067E-3</c:v>
                </c:pt>
                <c:pt idx="2">
                  <c:v>5.9299649238874347E-2</c:v>
                </c:pt>
                <c:pt idx="3">
                  <c:v>1.0814031218652263E-2</c:v>
                </c:pt>
                <c:pt idx="4">
                  <c:v>5.800264994621588E-2</c:v>
                </c:pt>
                <c:pt idx="5">
                  <c:v>-6.0712461249619924E-2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F8-4F72-8024-2C01FD9D3B6C}"/>
            </c:ext>
          </c:extLst>
        </c:ser>
        <c:ser>
          <c:idx val="0"/>
          <c:order val="2"/>
          <c:tx>
            <c:v>CO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5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Graphics!$B$86:$B$91</c:f>
              <c:numCache>
                <c:formatCode>0.00%</c:formatCode>
                <c:ptCount val="6"/>
                <c:pt idx="0">
                  <c:v>1.6155622599828681E-2</c:v>
                </c:pt>
                <c:pt idx="1">
                  <c:v>9.3790211198662935E-3</c:v>
                </c:pt>
                <c:pt idx="2">
                  <c:v>4.4270786678468253E-2</c:v>
                </c:pt>
                <c:pt idx="3">
                  <c:v>3.9344504254617892E-2</c:v>
                </c:pt>
                <c:pt idx="4">
                  <c:v>4.4985599247361931E-2</c:v>
                </c:pt>
                <c:pt idx="5">
                  <c:v>2.4801013566178625E-2</c:v>
                </c:pt>
              </c:numCache>
            </c:numRef>
          </c:xVal>
          <c:yVal>
            <c:numRef>
              <c:f>Graphics!$C$29:$C$34</c:f>
              <c:numCache>
                <c:formatCode>0.00%</c:formatCode>
                <c:ptCount val="6"/>
                <c:pt idx="0">
                  <c:v>1.7592272713367961E-2</c:v>
                </c:pt>
                <c:pt idx="1">
                  <c:v>6.5476815537998979E-3</c:v>
                </c:pt>
                <c:pt idx="2">
                  <c:v>3.912867584019996E-2</c:v>
                </c:pt>
                <c:pt idx="3">
                  <c:v>3.8959615074419765E-2</c:v>
                </c:pt>
                <c:pt idx="4">
                  <c:v>3.6984746979518167E-2</c:v>
                </c:pt>
                <c:pt idx="5">
                  <c:v>2.2909497370732709E-2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8-4F72-8024-2C01FD9D3B6C}"/>
            </c:ext>
          </c:extLst>
        </c:ser>
        <c:ser>
          <c:idx val="1"/>
          <c:order val="3"/>
          <c:tx>
            <c:v>OH</c:v>
          </c:tx>
          <c:spPr>
            <a:ln w="25400" cap="rnd">
              <a:noFill/>
              <a:round/>
            </a:ln>
            <a:effectLst/>
          </c:spPr>
          <c:marker>
            <c:symbol val="x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Graphics!$C$86:$C$91</c:f>
              <c:numCache>
                <c:formatCode>0.00%</c:formatCode>
                <c:ptCount val="6"/>
                <c:pt idx="0">
                  <c:v>-4.1411240689592038E-2</c:v>
                </c:pt>
                <c:pt idx="1">
                  <c:v>-4.2445701106456832E-3</c:v>
                </c:pt>
                <c:pt idx="2">
                  <c:v>-4.5219325923390744E-2</c:v>
                </c:pt>
                <c:pt idx="3">
                  <c:v>3.5477198124364034E-2</c:v>
                </c:pt>
                <c:pt idx="4">
                  <c:v>3.340430923943026E-2</c:v>
                </c:pt>
                <c:pt idx="5">
                  <c:v>1.9462534789705881E-2</c:v>
                </c:pt>
              </c:numCache>
            </c:numRef>
          </c:xVal>
          <c:yVal>
            <c:numRef>
              <c:f>Graphics!$F$29:$F$34</c:f>
              <c:numCache>
                <c:formatCode>0.00%</c:formatCode>
                <c:ptCount val="6"/>
                <c:pt idx="0">
                  <c:v>-3.494221638011847E-2</c:v>
                </c:pt>
                <c:pt idx="1">
                  <c:v>2.275753893433654E-3</c:v>
                </c:pt>
                <c:pt idx="2">
                  <c:v>-4.0955590259568492E-2</c:v>
                </c:pt>
                <c:pt idx="3">
                  <c:v>2.8962197885344911E-2</c:v>
                </c:pt>
                <c:pt idx="4">
                  <c:v>3.5492501654329212E-2</c:v>
                </c:pt>
                <c:pt idx="5">
                  <c:v>1.67116416877479E-2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F8-4F72-8024-2C01FD9D3B6C}"/>
            </c:ext>
          </c:extLst>
        </c:ser>
        <c:ser>
          <c:idx val="4"/>
          <c:order val="4"/>
          <c:tx>
            <c:v>Expected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Lit>
              <c:formatCode>General</c:formatCode>
              <c:ptCount val="2"/>
              <c:pt idx="0">
                <c:v>-0.08</c:v>
              </c:pt>
              <c:pt idx="1">
                <c:v>0.08</c:v>
              </c:pt>
            </c:numLit>
          </c:xVal>
          <c:yVal>
            <c:numLit>
              <c:formatCode>General</c:formatCode>
              <c:ptCount val="2"/>
              <c:pt idx="0">
                <c:v>-0.08</c:v>
              </c:pt>
              <c:pt idx="1">
                <c:v>0.08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3CF8-4F72-8024-2C01FD9D3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490456"/>
        <c:axId val="1031487576"/>
      </c:scatterChart>
      <c:valAx>
        <c:axId val="1031490456"/>
        <c:scaling>
          <c:orientation val="minMax"/>
          <c:max val="8.0000000000000016E-2"/>
          <c:min val="-8.000000000000001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Energy Production - % Diff AMY vs TMY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87576"/>
        <c:crosses val="autoZero"/>
        <c:crossBetween val="midCat"/>
      </c:valAx>
      <c:valAx>
        <c:axId val="1031487576"/>
        <c:scaling>
          <c:orientation val="minMax"/>
          <c:max val="0.12000000000000001"/>
          <c:min val="-0.12000000000000001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Bill Savings - % diff AMY vs  TMY</a:t>
                </a:r>
              </a:p>
            </c:rich>
          </c:tx>
          <c:layout>
            <c:manualLayout>
              <c:xMode val="edge"/>
              <c:yMode val="edge"/>
              <c:x val="4.9650321664048696E-5"/>
              <c:y val="0.40178495288977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90456"/>
        <c:crosses val="autoZero"/>
        <c:crossBetween val="midCat"/>
        <c:majorUnit val="3.0000000000000006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446220745393941"/>
          <c:y val="0.37188730247824636"/>
          <c:w val="9.8014855104091747E-2"/>
          <c:h val="0.259007886946417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333375</xdr:colOff>
      <xdr:row>38</xdr:row>
      <xdr:rowOff>52387</xdr:rowOff>
    </xdr:from>
    <xdr:to>
      <xdr:col>28</xdr:col>
      <xdr:colOff>161925</xdr:colOff>
      <xdr:row>58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28E3C-DB5E-6E1C-B67F-3EBA8A394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361950</xdr:colOff>
      <xdr:row>61</xdr:row>
      <xdr:rowOff>152400</xdr:rowOff>
    </xdr:from>
    <xdr:to>
      <xdr:col>28</xdr:col>
      <xdr:colOff>190500</xdr:colOff>
      <xdr:row>82</xdr:row>
      <xdr:rowOff>52388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668A5A-A180-4BEA-84A3-98FEF123A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0</xdr:colOff>
      <xdr:row>38</xdr:row>
      <xdr:rowOff>0</xdr:rowOff>
    </xdr:from>
    <xdr:to>
      <xdr:col>41</xdr:col>
      <xdr:colOff>438150</xdr:colOff>
      <xdr:row>58</xdr:row>
      <xdr:rowOff>90488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478FF2-8DE3-4BBF-9745-36E7D955B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419100</xdr:colOff>
      <xdr:row>62</xdr:row>
      <xdr:rowOff>0</xdr:rowOff>
    </xdr:from>
    <xdr:to>
      <xdr:col>41</xdr:col>
      <xdr:colOff>247650</xdr:colOff>
      <xdr:row>82</xdr:row>
      <xdr:rowOff>90488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639B7F-05FD-4D65-88FC-F155DD888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89</xdr:row>
      <xdr:rowOff>0</xdr:rowOff>
    </xdr:from>
    <xdr:to>
      <xdr:col>32</xdr:col>
      <xdr:colOff>438150</xdr:colOff>
      <xdr:row>109</xdr:row>
      <xdr:rowOff>90488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D47CBB-E64B-4A10-8074-CB0546158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474133</xdr:colOff>
      <xdr:row>111</xdr:row>
      <xdr:rowOff>190499</xdr:rowOff>
    </xdr:from>
    <xdr:to>
      <xdr:col>27</xdr:col>
      <xdr:colOff>381000</xdr:colOff>
      <xdr:row>150</xdr:row>
      <xdr:rowOff>21166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F19095-49D2-418F-99C8-BC8E79A22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497417</xdr:colOff>
      <xdr:row>152</xdr:row>
      <xdr:rowOff>10583</xdr:rowOff>
    </xdr:from>
    <xdr:to>
      <xdr:col>27</xdr:col>
      <xdr:colOff>465667</xdr:colOff>
      <xdr:row>184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3BD91E7-D92F-4F29-9690-E473CF080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EAEF-A0A7-4E69-B84C-D4AEF19BE144}">
  <dimension ref="A1:P170"/>
  <sheetViews>
    <sheetView topLeftCell="A10" workbookViewId="0">
      <selection activeCell="M7" sqref="M7"/>
    </sheetView>
  </sheetViews>
  <sheetFormatPr defaultRowHeight="14.4" x14ac:dyDescent="0.3"/>
  <sheetData>
    <row r="1" spans="1:16" x14ac:dyDescent="0.3">
      <c r="A1" t="str">
        <f>pv_only!A1</f>
        <v>state_long</v>
      </c>
      <c r="B1" t="str">
        <f>pv_only!B1</f>
        <v>state_short</v>
      </c>
      <c r="C1" t="str">
        <f>pv_only!C1</f>
        <v>utility</v>
      </c>
      <c r="D1" t="str">
        <f>pv_only!D1</f>
        <v>building_id</v>
      </c>
      <c r="E1" t="str">
        <f>pv_only!E1</f>
        <v>latitude</v>
      </c>
      <c r="F1" t="str">
        <f>pv_only!F1</f>
        <v>longitude</v>
      </c>
      <c r="G1" t="str">
        <f>pv_only!G1</f>
        <v>year</v>
      </c>
      <c r="H1" t="str">
        <f>pv_only!H1</f>
        <v>run_type</v>
      </c>
      <c r="I1" t="s">
        <v>48</v>
      </c>
      <c r="J1" t="s">
        <v>49</v>
      </c>
      <c r="L1" t="s">
        <v>50</v>
      </c>
      <c r="M1" t="s">
        <v>51</v>
      </c>
      <c r="N1" t="s">
        <v>9</v>
      </c>
      <c r="P1" t="s">
        <v>70</v>
      </c>
    </row>
    <row r="2" spans="1:16" x14ac:dyDescent="0.3">
      <c r="A2" t="str">
        <f>pv_only!A2</f>
        <v>alabama</v>
      </c>
      <c r="B2" t="str">
        <f>pv_only!B2</f>
        <v>AL</v>
      </c>
      <c r="C2" t="str">
        <f>pv_only!C2</f>
        <v>apc</v>
      </c>
      <c r="D2">
        <f>pv_only!D2</f>
        <v>46496</v>
      </c>
      <c r="E2">
        <f>pv_only!E2</f>
        <v>33.56</v>
      </c>
      <c r="F2">
        <f>pv_only!F2</f>
        <v>-86.75</v>
      </c>
      <c r="G2">
        <f>pv_only!G2</f>
        <v>2018</v>
      </c>
      <c r="H2" t="str">
        <f>pv_only!H2</f>
        <v>tmy</v>
      </c>
      <c r="I2" cm="1">
        <f t="array" ref="I2:I145">pv_only!I2:I145</f>
        <v>823.29276635119197</v>
      </c>
      <c r="J2" cm="1">
        <f t="array" ref="J2:J145">pv_plus_batt!I2:I145</f>
        <v>994.1743596</v>
      </c>
      <c r="K2">
        <f>J2-I2</f>
        <v>170.88159324880803</v>
      </c>
      <c r="N2">
        <v>9041.8682375594399</v>
      </c>
    </row>
    <row r="3" spans="1:16" x14ac:dyDescent="0.3">
      <c r="A3" t="str">
        <f>pv_only!A3</f>
        <v>alabama</v>
      </c>
      <c r="B3" t="str">
        <f>pv_only!B3</f>
        <v>AL</v>
      </c>
      <c r="C3" t="str">
        <f>pv_only!C3</f>
        <v>apc</v>
      </c>
      <c r="D3">
        <f>pv_only!D3</f>
        <v>46496</v>
      </c>
      <c r="E3">
        <f>pv_only!E3</f>
        <v>33.56</v>
      </c>
      <c r="F3">
        <f>pv_only!F3</f>
        <v>-86.75</v>
      </c>
      <c r="G3">
        <f>pv_only!G3</f>
        <v>2018</v>
      </c>
      <c r="H3" t="str">
        <f>pv_only!H3</f>
        <v>amy</v>
      </c>
      <c r="I3">
        <v>822.24786601343703</v>
      </c>
      <c r="J3">
        <v>978.21771550000005</v>
      </c>
      <c r="K3">
        <f t="shared" ref="K3:K66" si="0">J3-I3</f>
        <v>155.96984948656302</v>
      </c>
      <c r="L3">
        <f>(I3-I2)/I2</f>
        <v>-1.2691722561658167E-3</v>
      </c>
      <c r="M3">
        <f>(J3-J2)/J2</f>
        <v>-1.6050146481770066E-2</v>
      </c>
      <c r="N3">
        <v>8621.1306134651695</v>
      </c>
      <c r="P3">
        <f>(N3-N2)/N2</f>
        <v>-4.6532156081035184E-2</v>
      </c>
    </row>
    <row r="4" spans="1:16" x14ac:dyDescent="0.3">
      <c r="A4" t="str">
        <f>pv_only!A4</f>
        <v>alabama</v>
      </c>
      <c r="B4" t="str">
        <f>pv_only!B4</f>
        <v>AL</v>
      </c>
      <c r="C4" t="str">
        <f>pv_only!C4</f>
        <v>apc</v>
      </c>
      <c r="D4">
        <f>pv_only!D4</f>
        <v>46496</v>
      </c>
      <c r="E4">
        <f>pv_only!E4</f>
        <v>33.56</v>
      </c>
      <c r="F4">
        <f>pv_only!F4</f>
        <v>-86.75</v>
      </c>
      <c r="G4">
        <f>pv_only!G4</f>
        <v>2019</v>
      </c>
      <c r="H4" t="str">
        <f>pv_only!H4</f>
        <v>tmy</v>
      </c>
      <c r="I4">
        <v>830.354460004413</v>
      </c>
      <c r="J4">
        <v>998.44838830000003</v>
      </c>
      <c r="K4">
        <f t="shared" si="0"/>
        <v>168.09392829558703</v>
      </c>
      <c r="N4">
        <v>9041.8682375594399</v>
      </c>
    </row>
    <row r="5" spans="1:16" x14ac:dyDescent="0.3">
      <c r="A5" t="str">
        <f>pv_only!A5</f>
        <v>alabama</v>
      </c>
      <c r="B5" t="str">
        <f>pv_only!B5</f>
        <v>AL</v>
      </c>
      <c r="C5" t="str">
        <f>pv_only!C5</f>
        <v>apc</v>
      </c>
      <c r="D5">
        <f>pv_only!D5</f>
        <v>46496</v>
      </c>
      <c r="E5">
        <f>pv_only!E5</f>
        <v>33.56</v>
      </c>
      <c r="F5">
        <f>pv_only!F5</f>
        <v>-86.75</v>
      </c>
      <c r="G5">
        <f>pv_only!G5</f>
        <v>2019</v>
      </c>
      <c r="H5" t="str">
        <f>pv_only!H5</f>
        <v>amy</v>
      </c>
      <c r="I5">
        <v>844.01501833309499</v>
      </c>
      <c r="J5">
        <v>997.14428989999999</v>
      </c>
      <c r="K5">
        <f t="shared" si="0"/>
        <v>153.129271566905</v>
      </c>
      <c r="L5">
        <f>(I5-I4)/I4</f>
        <v>1.6451478238112174E-2</v>
      </c>
      <c r="M5">
        <f>(J5-J4)/J4</f>
        <v>-1.3061249988298904E-3</v>
      </c>
      <c r="N5">
        <v>8716.7444239972301</v>
      </c>
      <c r="P5">
        <f>(N5-N4)/N4</f>
        <v>-3.5957592504131254E-2</v>
      </c>
    </row>
    <row r="6" spans="1:16" x14ac:dyDescent="0.3">
      <c r="A6" t="str">
        <f>pv_only!A6</f>
        <v>alabama</v>
      </c>
      <c r="B6" t="str">
        <f>pv_only!B6</f>
        <v>AL</v>
      </c>
      <c r="C6" t="str">
        <f>pv_only!C6</f>
        <v>apc</v>
      </c>
      <c r="D6">
        <f>pv_only!D6</f>
        <v>46496</v>
      </c>
      <c r="E6">
        <f>pv_only!E6</f>
        <v>33.56</v>
      </c>
      <c r="F6">
        <f>pv_only!F6</f>
        <v>-86.75</v>
      </c>
      <c r="G6">
        <f>pv_only!G6</f>
        <v>2020</v>
      </c>
      <c r="H6" t="str">
        <f>pv_only!H6</f>
        <v>tmy</v>
      </c>
      <c r="I6">
        <v>784.220132412216</v>
      </c>
      <c r="J6">
        <v>979.2576914</v>
      </c>
      <c r="K6">
        <f t="shared" si="0"/>
        <v>195.037558987784</v>
      </c>
      <c r="N6">
        <v>9041.8682375594399</v>
      </c>
    </row>
    <row r="7" spans="1:16" x14ac:dyDescent="0.3">
      <c r="A7" t="str">
        <f>pv_only!A7</f>
        <v>alabama</v>
      </c>
      <c r="B7" t="str">
        <f>pv_only!B7</f>
        <v>AL</v>
      </c>
      <c r="C7" t="str">
        <f>pv_only!C7</f>
        <v>apc</v>
      </c>
      <c r="D7">
        <f>pv_only!D7</f>
        <v>46496</v>
      </c>
      <c r="E7">
        <f>pv_only!E7</f>
        <v>33.56</v>
      </c>
      <c r="F7">
        <f>pv_only!F7</f>
        <v>-86.75</v>
      </c>
      <c r="G7">
        <f>pv_only!G7</f>
        <v>2020</v>
      </c>
      <c r="H7" t="str">
        <f>pv_only!H7</f>
        <v>amy</v>
      </c>
      <c r="I7">
        <v>786.96200638225605</v>
      </c>
      <c r="J7">
        <v>973.85643259999995</v>
      </c>
      <c r="K7">
        <f t="shared" si="0"/>
        <v>186.8944262177439</v>
      </c>
      <c r="L7">
        <f>(I7-I6)/I6</f>
        <v>3.4963065301654521E-3</v>
      </c>
      <c r="M7">
        <f>(J7-J6)/J6</f>
        <v>-5.5156664557600944E-3</v>
      </c>
      <c r="N7">
        <v>8634.7380861866804</v>
      </c>
      <c r="P7">
        <f>(N7-N6)/N6</f>
        <v>-4.5027215689956906E-2</v>
      </c>
    </row>
    <row r="8" spans="1:16" x14ac:dyDescent="0.3">
      <c r="A8" t="str">
        <f>pv_only!A8</f>
        <v>alabama</v>
      </c>
      <c r="B8" t="str">
        <f>pv_only!B8</f>
        <v>AL</v>
      </c>
      <c r="C8" t="str">
        <f>pv_only!C8</f>
        <v>apc</v>
      </c>
      <c r="D8">
        <f>pv_only!D8</f>
        <v>46496</v>
      </c>
      <c r="E8">
        <f>pv_only!E8</f>
        <v>33.56</v>
      </c>
      <c r="F8">
        <f>pv_only!F8</f>
        <v>-86.75</v>
      </c>
      <c r="G8">
        <f>pv_only!G8</f>
        <v>2021</v>
      </c>
      <c r="H8" t="str">
        <f>pv_only!H8</f>
        <v>tmy</v>
      </c>
      <c r="I8">
        <v>777.193068218147</v>
      </c>
      <c r="J8">
        <v>993.54796150000004</v>
      </c>
      <c r="K8">
        <f t="shared" si="0"/>
        <v>216.35489328185304</v>
      </c>
      <c r="N8">
        <v>9041.8682375594399</v>
      </c>
    </row>
    <row r="9" spans="1:16" x14ac:dyDescent="0.3">
      <c r="A9" t="str">
        <f>pv_only!A9</f>
        <v>alabama</v>
      </c>
      <c r="B9" t="str">
        <f>pv_only!B9</f>
        <v>AL</v>
      </c>
      <c r="C9" t="str">
        <f>pv_only!C9</f>
        <v>apc</v>
      </c>
      <c r="D9">
        <f>pv_only!D9</f>
        <v>46496</v>
      </c>
      <c r="E9">
        <f>pv_only!E9</f>
        <v>33.56</v>
      </c>
      <c r="F9">
        <f>pv_only!F9</f>
        <v>-86.75</v>
      </c>
      <c r="G9">
        <f>pv_only!G9</f>
        <v>2021</v>
      </c>
      <c r="H9" t="str">
        <f>pv_only!H9</f>
        <v>amy</v>
      </c>
      <c r="I9">
        <v>767.47674133462499</v>
      </c>
      <c r="J9">
        <v>980.78651890000003</v>
      </c>
      <c r="K9">
        <f t="shared" si="0"/>
        <v>213.30977756537504</v>
      </c>
      <c r="L9">
        <f>(I9-I8)/I8</f>
        <v>-1.250181876402786E-2</v>
      </c>
      <c r="M9">
        <f>(J9-J8)/J8</f>
        <v>-1.284431461238523E-2</v>
      </c>
      <c r="N9">
        <v>8847.2703726983309</v>
      </c>
      <c r="P9">
        <f>(N9-N8)/N8</f>
        <v>-2.1521864701894215E-2</v>
      </c>
    </row>
    <row r="10" spans="1:16" x14ac:dyDescent="0.3">
      <c r="A10" t="str">
        <f>pv_only!A10</f>
        <v>alabama</v>
      </c>
      <c r="B10" t="str">
        <f>pv_only!B10</f>
        <v>AL</v>
      </c>
      <c r="C10" t="str">
        <f>pv_only!C10</f>
        <v>apc</v>
      </c>
      <c r="D10">
        <f>pv_only!D10</f>
        <v>46496</v>
      </c>
      <c r="E10">
        <f>pv_only!E10</f>
        <v>33.56</v>
      </c>
      <c r="F10">
        <f>pv_only!F10</f>
        <v>-86.75</v>
      </c>
      <c r="G10">
        <f>pv_only!G10</f>
        <v>2022</v>
      </c>
      <c r="H10" t="str">
        <f>pv_only!H10</f>
        <v>tmy</v>
      </c>
      <c r="I10">
        <v>820.241816402636</v>
      </c>
      <c r="J10">
        <v>1009.884715</v>
      </c>
      <c r="K10">
        <f t="shared" si="0"/>
        <v>189.64289859736402</v>
      </c>
      <c r="N10">
        <v>9041.8682375594399</v>
      </c>
    </row>
    <row r="11" spans="1:16" x14ac:dyDescent="0.3">
      <c r="A11" t="str">
        <f>pv_only!A11</f>
        <v>alabama</v>
      </c>
      <c r="B11" t="str">
        <f>pv_only!B11</f>
        <v>AL</v>
      </c>
      <c r="C11" t="str">
        <f>pv_only!C11</f>
        <v>apc</v>
      </c>
      <c r="D11">
        <f>pv_only!D11</f>
        <v>46496</v>
      </c>
      <c r="E11">
        <f>pv_only!E11</f>
        <v>33.56</v>
      </c>
      <c r="F11">
        <f>pv_only!F11</f>
        <v>-86.75</v>
      </c>
      <c r="G11">
        <f>pv_only!G11</f>
        <v>2022</v>
      </c>
      <c r="H11" t="str">
        <f>pv_only!H11</f>
        <v>amy</v>
      </c>
      <c r="I11">
        <v>870.89925033299005</v>
      </c>
      <c r="J11">
        <v>1054.4249159999999</v>
      </c>
      <c r="K11">
        <f t="shared" si="0"/>
        <v>183.52566566700989</v>
      </c>
      <c r="L11">
        <f>(I11-I10)/I10</f>
        <v>6.1759145799862011E-2</v>
      </c>
      <c r="M11">
        <f>(J11-J10)/J10</f>
        <v>4.4104243126404694E-2</v>
      </c>
      <c r="N11">
        <v>9524.5165356425896</v>
      </c>
      <c r="P11">
        <f>(N11-N10)/N10</f>
        <v>5.3379266917234464E-2</v>
      </c>
    </row>
    <row r="12" spans="1:16" x14ac:dyDescent="0.3">
      <c r="A12" t="str">
        <f>pv_only!A12</f>
        <v>alabama</v>
      </c>
      <c r="B12" t="str">
        <f>pv_only!B12</f>
        <v>AL</v>
      </c>
      <c r="C12" t="str">
        <f>pv_only!C12</f>
        <v>apc</v>
      </c>
      <c r="D12">
        <f>pv_only!D12</f>
        <v>46496</v>
      </c>
      <c r="E12">
        <f>pv_only!E12</f>
        <v>33.56</v>
      </c>
      <c r="F12">
        <f>pv_only!F12</f>
        <v>-86.75</v>
      </c>
      <c r="G12">
        <f>pv_only!G12</f>
        <v>2023</v>
      </c>
      <c r="H12" t="str">
        <f>pv_only!H12</f>
        <v>tmy</v>
      </c>
      <c r="I12">
        <v>810.03416444866502</v>
      </c>
      <c r="J12">
        <v>1003.416236</v>
      </c>
      <c r="K12">
        <f t="shared" si="0"/>
        <v>193.382071551335</v>
      </c>
      <c r="N12">
        <v>9041.8682375594399</v>
      </c>
    </row>
    <row r="13" spans="1:16" x14ac:dyDescent="0.3">
      <c r="A13" t="str">
        <f>pv_only!A13</f>
        <v>alabama</v>
      </c>
      <c r="B13" t="str">
        <f>pv_only!B13</f>
        <v>AL</v>
      </c>
      <c r="C13" t="str">
        <f>pv_only!C13</f>
        <v>apc</v>
      </c>
      <c r="D13">
        <f>pv_only!D13</f>
        <v>46496</v>
      </c>
      <c r="E13">
        <f>pv_only!E13</f>
        <v>33.56</v>
      </c>
      <c r="F13">
        <f>pv_only!F13</f>
        <v>-86.75</v>
      </c>
      <c r="G13">
        <f>pv_only!G13</f>
        <v>2023</v>
      </c>
      <c r="H13" t="str">
        <f>pv_only!H13</f>
        <v>amy</v>
      </c>
      <c r="I13">
        <v>844.29870143381595</v>
      </c>
      <c r="J13">
        <v>1048.876017</v>
      </c>
      <c r="K13">
        <f t="shared" si="0"/>
        <v>204.5773155661841</v>
      </c>
      <c r="L13">
        <f t="shared" ref="L13" si="1">(I13-I12)/I12</f>
        <v>4.2300113364320206E-2</v>
      </c>
      <c r="M13">
        <f t="shared" ref="M13" si="2">(J13-J12)/J12</f>
        <v>4.5305008399325941E-2</v>
      </c>
      <c r="N13">
        <v>9250.2634257784302</v>
      </c>
      <c r="P13">
        <f>(N13-N12)/N12</f>
        <v>2.3047801930283371E-2</v>
      </c>
    </row>
    <row r="14" spans="1:16" x14ac:dyDescent="0.3">
      <c r="A14" t="str">
        <f>pv_only!A14</f>
        <v>arizona</v>
      </c>
      <c r="B14" t="str">
        <f>pv_only!B14</f>
        <v>AZ</v>
      </c>
      <c r="C14" t="str">
        <f>pv_only!C14</f>
        <v>aps</v>
      </c>
      <c r="D14">
        <f>pv_only!D14</f>
        <v>112157</v>
      </c>
      <c r="E14">
        <f>pv_only!E14</f>
        <v>35.14</v>
      </c>
      <c r="F14">
        <f>pv_only!F14</f>
        <v>-111.67</v>
      </c>
      <c r="G14">
        <f>pv_only!G14</f>
        <v>2018</v>
      </c>
      <c r="H14" t="str">
        <f>pv_only!H14</f>
        <v>tmy</v>
      </c>
      <c r="I14">
        <v>924.93943197435703</v>
      </c>
      <c r="J14">
        <v>1117.0270109999999</v>
      </c>
      <c r="K14">
        <f t="shared" si="0"/>
        <v>192.08757902564287</v>
      </c>
      <c r="N14">
        <v>11330.222374223</v>
      </c>
    </row>
    <row r="15" spans="1:16" x14ac:dyDescent="0.3">
      <c r="A15" t="str">
        <f>pv_only!A15</f>
        <v>arizona</v>
      </c>
      <c r="B15" t="str">
        <f>pv_only!B15</f>
        <v>AZ</v>
      </c>
      <c r="C15" t="str">
        <f>pv_only!C15</f>
        <v>aps</v>
      </c>
      <c r="D15">
        <f>pv_only!D15</f>
        <v>112157</v>
      </c>
      <c r="E15">
        <f>pv_only!E15</f>
        <v>35.14</v>
      </c>
      <c r="F15">
        <f>pv_only!F15</f>
        <v>-111.67</v>
      </c>
      <c r="G15">
        <f>pv_only!G15</f>
        <v>2018</v>
      </c>
      <c r="H15" t="str">
        <f>pv_only!H15</f>
        <v>amy</v>
      </c>
      <c r="I15">
        <v>932.169976712123</v>
      </c>
      <c r="J15">
        <v>1256.1124569999999</v>
      </c>
      <c r="K15">
        <f t="shared" si="0"/>
        <v>323.94248028787695</v>
      </c>
      <c r="L15">
        <f t="shared" ref="L15" si="3">(I15-I14)/I14</f>
        <v>7.8173169915913224E-3</v>
      </c>
      <c r="M15">
        <f t="shared" ref="M15" si="4">(J15-J14)/J14</f>
        <v>0.12451395054044943</v>
      </c>
      <c r="N15">
        <v>11312.075696729</v>
      </c>
      <c r="P15">
        <f t="shared" ref="P15" si="5">(N15-N14)/N14</f>
        <v>-1.6016170640467608E-3</v>
      </c>
    </row>
    <row r="16" spans="1:16" x14ac:dyDescent="0.3">
      <c r="A16" t="str">
        <f>pv_only!A16</f>
        <v>arizona</v>
      </c>
      <c r="B16" t="str">
        <f>pv_only!B16</f>
        <v>AZ</v>
      </c>
      <c r="C16" t="str">
        <f>pv_only!C16</f>
        <v>aps</v>
      </c>
      <c r="D16">
        <f>pv_only!D16</f>
        <v>112157</v>
      </c>
      <c r="E16">
        <f>pv_only!E16</f>
        <v>35.14</v>
      </c>
      <c r="F16">
        <f>pv_only!F16</f>
        <v>-111.67</v>
      </c>
      <c r="G16">
        <f>pv_only!G16</f>
        <v>2019</v>
      </c>
      <c r="H16" t="str">
        <f>pv_only!H16</f>
        <v>tmy</v>
      </c>
      <c r="I16">
        <v>922.69192092193805</v>
      </c>
      <c r="J16">
        <v>1187.0812089999999</v>
      </c>
      <c r="K16">
        <f t="shared" si="0"/>
        <v>264.3892880780619</v>
      </c>
      <c r="N16">
        <v>11330.222374223</v>
      </c>
    </row>
    <row r="17" spans="1:16" x14ac:dyDescent="0.3">
      <c r="A17" t="str">
        <f>pv_only!A17</f>
        <v>arizona</v>
      </c>
      <c r="B17" t="str">
        <f>pv_only!B17</f>
        <v>AZ</v>
      </c>
      <c r="C17" t="str">
        <f>pv_only!C17</f>
        <v>aps</v>
      </c>
      <c r="D17">
        <f>pv_only!D17</f>
        <v>112157</v>
      </c>
      <c r="E17">
        <f>pv_only!E17</f>
        <v>35.14</v>
      </c>
      <c r="F17">
        <f>pv_only!F17</f>
        <v>-111.67</v>
      </c>
      <c r="G17">
        <f>pv_only!G17</f>
        <v>2019</v>
      </c>
      <c r="H17" t="str">
        <f>pv_only!H17</f>
        <v>amy</v>
      </c>
      <c r="I17">
        <v>929.03520077929204</v>
      </c>
      <c r="J17">
        <v>1243.497846</v>
      </c>
      <c r="K17">
        <f t="shared" si="0"/>
        <v>314.46264522070794</v>
      </c>
      <c r="L17">
        <f t="shared" ref="L17" si="6">(I17-I16)/I16</f>
        <v>6.8747538734444469E-3</v>
      </c>
      <c r="M17">
        <f t="shared" ref="M17" si="7">(J17-J16)/J16</f>
        <v>4.7525507583028419E-2</v>
      </c>
      <c r="N17">
        <v>11336.7869021319</v>
      </c>
      <c r="P17">
        <f t="shared" ref="P17" si="8">(N17-N16)/N16</f>
        <v>5.793820890784172E-4</v>
      </c>
    </row>
    <row r="18" spans="1:16" x14ac:dyDescent="0.3">
      <c r="A18" t="str">
        <f>pv_only!A18</f>
        <v>arizona</v>
      </c>
      <c r="B18" t="str">
        <f>pv_only!B18</f>
        <v>AZ</v>
      </c>
      <c r="C18" t="str">
        <f>pv_only!C18</f>
        <v>aps</v>
      </c>
      <c r="D18">
        <f>pv_only!D18</f>
        <v>112157</v>
      </c>
      <c r="E18">
        <f>pv_only!E18</f>
        <v>35.14</v>
      </c>
      <c r="F18">
        <f>pv_only!F18</f>
        <v>-111.67</v>
      </c>
      <c r="G18">
        <f>pv_only!G18</f>
        <v>2020</v>
      </c>
      <c r="H18" t="str">
        <f>pv_only!H18</f>
        <v>tmy</v>
      </c>
      <c r="I18">
        <v>901.69780008924897</v>
      </c>
      <c r="J18">
        <v>1089.0507660000001</v>
      </c>
      <c r="K18">
        <f t="shared" si="0"/>
        <v>187.3529659107511</v>
      </c>
      <c r="N18">
        <v>11330.222374223</v>
      </c>
    </row>
    <row r="19" spans="1:16" x14ac:dyDescent="0.3">
      <c r="A19" t="str">
        <f>pv_only!A19</f>
        <v>arizona</v>
      </c>
      <c r="B19" t="str">
        <f>pv_only!B19</f>
        <v>AZ</v>
      </c>
      <c r="C19" t="str">
        <f>pv_only!C19</f>
        <v>aps</v>
      </c>
      <c r="D19">
        <f>pv_only!D19</f>
        <v>112157</v>
      </c>
      <c r="E19">
        <f>pv_only!E19</f>
        <v>35.14</v>
      </c>
      <c r="F19">
        <f>pv_only!F19</f>
        <v>-111.67</v>
      </c>
      <c r="G19">
        <f>pv_only!G19</f>
        <v>2020</v>
      </c>
      <c r="H19" t="str">
        <f>pv_only!H19</f>
        <v>amy</v>
      </c>
      <c r="I19">
        <v>965.44134570483504</v>
      </c>
      <c r="J19">
        <v>1257.998938</v>
      </c>
      <c r="K19">
        <f t="shared" si="0"/>
        <v>292.55759229516491</v>
      </c>
      <c r="L19">
        <f t="shared" ref="L19" si="9">(I19-I18)/I18</f>
        <v>7.0692803741205554E-2</v>
      </c>
      <c r="M19">
        <f t="shared" ref="M19" si="10">(J19-J18)/J18</f>
        <v>0.15513342194371119</v>
      </c>
      <c r="N19">
        <v>11855.872040647901</v>
      </c>
      <c r="P19">
        <f t="shared" ref="P19" si="11">(N19-N18)/N18</f>
        <v>4.6393587792309197E-2</v>
      </c>
    </row>
    <row r="20" spans="1:16" x14ac:dyDescent="0.3">
      <c r="A20" t="str">
        <f>pv_only!A20</f>
        <v>arizona</v>
      </c>
      <c r="B20" t="str">
        <f>pv_only!B20</f>
        <v>AZ</v>
      </c>
      <c r="C20" t="str">
        <f>pv_only!C20</f>
        <v>aps</v>
      </c>
      <c r="D20">
        <f>pv_only!D20</f>
        <v>112157</v>
      </c>
      <c r="E20">
        <f>pv_only!E20</f>
        <v>35.14</v>
      </c>
      <c r="F20">
        <f>pv_only!F20</f>
        <v>-111.67</v>
      </c>
      <c r="G20">
        <f>pv_only!G20</f>
        <v>2021</v>
      </c>
      <c r="H20" t="str">
        <f>pv_only!H20</f>
        <v>tmy</v>
      </c>
      <c r="I20">
        <v>907.62167450318395</v>
      </c>
      <c r="J20">
        <v>1202.092629</v>
      </c>
      <c r="K20">
        <f t="shared" si="0"/>
        <v>294.47095449681603</v>
      </c>
      <c r="N20">
        <v>11330.222374223</v>
      </c>
    </row>
    <row r="21" spans="1:16" x14ac:dyDescent="0.3">
      <c r="A21" t="str">
        <f>pv_only!A21</f>
        <v>arizona</v>
      </c>
      <c r="B21" t="str">
        <f>pv_only!B21</f>
        <v>AZ</v>
      </c>
      <c r="C21" t="str">
        <f>pv_only!C21</f>
        <v>aps</v>
      </c>
      <c r="D21">
        <f>pv_only!D21</f>
        <v>112157</v>
      </c>
      <c r="E21">
        <f>pv_only!E21</f>
        <v>35.14</v>
      </c>
      <c r="F21">
        <f>pv_only!F21</f>
        <v>-111.67</v>
      </c>
      <c r="G21">
        <f>pv_only!G21</f>
        <v>2021</v>
      </c>
      <c r="H21" t="str">
        <f>pv_only!H21</f>
        <v>amy</v>
      </c>
      <c r="I21">
        <v>940.08774401789697</v>
      </c>
      <c r="J21">
        <v>1234.8489380000001</v>
      </c>
      <c r="K21">
        <f t="shared" si="0"/>
        <v>294.76119398210312</v>
      </c>
      <c r="L21">
        <f t="shared" ref="L21" si="12">(I21-I20)/I20</f>
        <v>3.577048722694328E-2</v>
      </c>
      <c r="M21">
        <f t="shared" ref="M21" si="13">(J21-J20)/J20</f>
        <v>2.7249405087234838E-2</v>
      </c>
      <c r="N21">
        <v>11443.475055557799</v>
      </c>
      <c r="P21">
        <f t="shared" ref="P21" si="14">(N21-N20)/N20</f>
        <v>9.9956274108491273E-3</v>
      </c>
    </row>
    <row r="22" spans="1:16" x14ac:dyDescent="0.3">
      <c r="A22" t="str">
        <f>pv_only!A22</f>
        <v>arizona</v>
      </c>
      <c r="B22" t="str">
        <f>pv_only!B22</f>
        <v>AZ</v>
      </c>
      <c r="C22" t="str">
        <f>pv_only!C22</f>
        <v>aps</v>
      </c>
      <c r="D22">
        <f>pv_only!D22</f>
        <v>112157</v>
      </c>
      <c r="E22">
        <f>pv_only!E22</f>
        <v>35.14</v>
      </c>
      <c r="F22">
        <f>pv_only!F22</f>
        <v>-111.67</v>
      </c>
      <c r="G22">
        <f>pv_only!G22</f>
        <v>2022</v>
      </c>
      <c r="H22" t="str">
        <f>pv_only!H22</f>
        <v>tmy</v>
      </c>
      <c r="I22">
        <v>910.24800584934098</v>
      </c>
      <c r="J22">
        <v>1162.5620510000001</v>
      </c>
      <c r="K22">
        <f t="shared" si="0"/>
        <v>252.31404515065913</v>
      </c>
      <c r="N22">
        <v>11330.222374223</v>
      </c>
    </row>
    <row r="23" spans="1:16" x14ac:dyDescent="0.3">
      <c r="A23" t="str">
        <f>pv_only!A23</f>
        <v>arizona</v>
      </c>
      <c r="B23" t="str">
        <f>pv_only!B23</f>
        <v>AZ</v>
      </c>
      <c r="C23" t="str">
        <f>pv_only!C23</f>
        <v>aps</v>
      </c>
      <c r="D23">
        <f>pv_only!D23</f>
        <v>112157</v>
      </c>
      <c r="E23">
        <f>pv_only!E23</f>
        <v>35.14</v>
      </c>
      <c r="F23">
        <f>pv_only!F23</f>
        <v>-111.67</v>
      </c>
      <c r="G23">
        <f>pv_only!G23</f>
        <v>2022</v>
      </c>
      <c r="H23" t="str">
        <f>pv_only!H23</f>
        <v>amy</v>
      </c>
      <c r="I23">
        <v>933.56028020839506</v>
      </c>
      <c r="J23">
        <v>1264.5918409999999</v>
      </c>
      <c r="K23">
        <f t="shared" si="0"/>
        <v>331.03156079160487</v>
      </c>
      <c r="L23">
        <f t="shared" ref="L23" si="15">(I23-I22)/I22</f>
        <v>2.5610904071469712E-2</v>
      </c>
      <c r="M23">
        <f t="shared" ref="M23" si="16">(J23-J22)/J22</f>
        <v>8.776287675331991E-2</v>
      </c>
      <c r="N23">
        <v>11395.4220198483</v>
      </c>
      <c r="P23">
        <f t="shared" ref="P23" si="17">(N23-N22)/N22</f>
        <v>5.7544894947193191E-3</v>
      </c>
    </row>
    <row r="24" spans="1:16" x14ac:dyDescent="0.3">
      <c r="A24" t="str">
        <f>pv_only!A24</f>
        <v>arizona</v>
      </c>
      <c r="B24" t="str">
        <f>pv_only!B24</f>
        <v>AZ</v>
      </c>
      <c r="C24" t="str">
        <f>pv_only!C24</f>
        <v>aps</v>
      </c>
      <c r="D24">
        <f>pv_only!D24</f>
        <v>112157</v>
      </c>
      <c r="E24">
        <f>pv_only!E24</f>
        <v>35.14</v>
      </c>
      <c r="F24">
        <f>pv_only!F24</f>
        <v>-111.67</v>
      </c>
      <c r="G24">
        <f>pv_only!G24</f>
        <v>2023</v>
      </c>
      <c r="H24" t="str">
        <f>pv_only!H24</f>
        <v>tmy</v>
      </c>
      <c r="I24">
        <v>918.90437846834095</v>
      </c>
      <c r="J24">
        <v>1129.6572269999999</v>
      </c>
      <c r="K24">
        <f t="shared" si="0"/>
        <v>210.75284853165897</v>
      </c>
      <c r="N24">
        <v>11330.222374223</v>
      </c>
    </row>
    <row r="25" spans="1:16" x14ac:dyDescent="0.3">
      <c r="A25" t="str">
        <f>pv_only!A25</f>
        <v>arizona</v>
      </c>
      <c r="B25" t="str">
        <f>pv_only!B25</f>
        <v>AZ</v>
      </c>
      <c r="C25" t="str">
        <f>pv_only!C25</f>
        <v>aps</v>
      </c>
      <c r="D25">
        <f>pv_only!D25</f>
        <v>112157</v>
      </c>
      <c r="E25">
        <f>pv_only!E25</f>
        <v>35.14</v>
      </c>
      <c r="F25">
        <f>pv_only!F25</f>
        <v>-111.67</v>
      </c>
      <c r="G25">
        <f>pv_only!G25</f>
        <v>2023</v>
      </c>
      <c r="H25" t="str">
        <f>pv_only!H25</f>
        <v>amy</v>
      </c>
      <c r="I25">
        <v>940.06289819671201</v>
      </c>
      <c r="J25">
        <v>1240.2759329999999</v>
      </c>
      <c r="K25">
        <f t="shared" si="0"/>
        <v>300.21303480328788</v>
      </c>
      <c r="L25">
        <f t="shared" ref="L25" si="18">(I25-I24)/I24</f>
        <v>2.3025812287061638E-2</v>
      </c>
      <c r="M25">
        <f t="shared" ref="M25" si="19">(J25-J24)/J24</f>
        <v>9.7922363842850871E-2</v>
      </c>
      <c r="N25">
        <v>11559.837818711099</v>
      </c>
      <c r="P25">
        <f t="shared" ref="P25" si="20">(N25-N24)/N24</f>
        <v>2.0265749153387289E-2</v>
      </c>
    </row>
    <row r="26" spans="1:16" x14ac:dyDescent="0.3">
      <c r="A26" t="str">
        <f>pv_only!A26</f>
        <v>california</v>
      </c>
      <c r="B26" t="str">
        <f>pv_only!B26</f>
        <v>CA</v>
      </c>
      <c r="C26" t="str">
        <f>pv_only!C26</f>
        <v>sdge</v>
      </c>
      <c r="D26">
        <f>pv_only!D26</f>
        <v>111549</v>
      </c>
      <c r="E26">
        <f>pv_only!E26</f>
        <v>32.869999999999997</v>
      </c>
      <c r="F26">
        <f>pv_only!F26</f>
        <v>-117.15</v>
      </c>
      <c r="G26">
        <f>pv_only!G26</f>
        <v>2018</v>
      </c>
      <c r="H26" t="str">
        <f>pv_only!H26</f>
        <v>tmy</v>
      </c>
      <c r="I26">
        <v>2784.0254644351198</v>
      </c>
      <c r="J26">
        <v>3767.4564919999998</v>
      </c>
      <c r="K26">
        <f t="shared" si="0"/>
        <v>983.43102756487997</v>
      </c>
      <c r="N26">
        <v>11233.731410124399</v>
      </c>
    </row>
    <row r="27" spans="1:16" x14ac:dyDescent="0.3">
      <c r="A27" t="str">
        <f>pv_only!A27</f>
        <v>california</v>
      </c>
      <c r="B27" t="str">
        <f>pv_only!B27</f>
        <v>CA</v>
      </c>
      <c r="C27" t="str">
        <f>pv_only!C27</f>
        <v>sdge</v>
      </c>
      <c r="D27">
        <f>pv_only!D27</f>
        <v>111549</v>
      </c>
      <c r="E27">
        <f>pv_only!E27</f>
        <v>32.869999999999997</v>
      </c>
      <c r="F27">
        <f>pv_only!F27</f>
        <v>-117.15</v>
      </c>
      <c r="G27">
        <f>pv_only!G27</f>
        <v>2018</v>
      </c>
      <c r="H27" t="str">
        <f>pv_only!H27</f>
        <v>amy</v>
      </c>
      <c r="I27">
        <v>2839.1139293071401</v>
      </c>
      <c r="J27">
        <v>3838.3935849999998</v>
      </c>
      <c r="K27">
        <f t="shared" si="0"/>
        <v>999.27965569285971</v>
      </c>
      <c r="L27">
        <f t="shared" ref="L27" si="21">(I27-I26)/I26</f>
        <v>1.9787342312688846E-2</v>
      </c>
      <c r="M27">
        <f t="shared" ref="M27" si="22">(J27-J26)/J26</f>
        <v>1.8828908349872459E-2</v>
      </c>
      <c r="N27">
        <v>11279.391663394499</v>
      </c>
      <c r="P27">
        <f t="shared" ref="P27" si="23">(N27-N26)/N26</f>
        <v>4.0645669371219464E-3</v>
      </c>
    </row>
    <row r="28" spans="1:16" x14ac:dyDescent="0.3">
      <c r="A28" t="str">
        <f>pv_only!A28</f>
        <v>california</v>
      </c>
      <c r="B28" t="str">
        <f>pv_only!B28</f>
        <v>CA</v>
      </c>
      <c r="C28" t="str">
        <f>pv_only!C28</f>
        <v>sdge</v>
      </c>
      <c r="D28">
        <f>pv_only!D28</f>
        <v>111549</v>
      </c>
      <c r="E28">
        <f>pv_only!E28</f>
        <v>32.869999999999997</v>
      </c>
      <c r="F28">
        <f>pv_only!F28</f>
        <v>-117.15</v>
      </c>
      <c r="G28">
        <f>pv_only!G28</f>
        <v>2019</v>
      </c>
      <c r="H28" t="str">
        <f>pv_only!H28</f>
        <v>tmy</v>
      </c>
      <c r="I28">
        <v>2685.5702567297499</v>
      </c>
      <c r="J28">
        <v>3638.7501440000001</v>
      </c>
      <c r="K28">
        <f t="shared" si="0"/>
        <v>953.17988727025022</v>
      </c>
      <c r="N28">
        <v>11233.731410124399</v>
      </c>
    </row>
    <row r="29" spans="1:16" x14ac:dyDescent="0.3">
      <c r="A29" t="str">
        <f>pv_only!A29</f>
        <v>california</v>
      </c>
      <c r="B29" t="str">
        <f>pv_only!B29</f>
        <v>CA</v>
      </c>
      <c r="C29" t="str">
        <f>pv_only!C29</f>
        <v>sdge</v>
      </c>
      <c r="D29">
        <f>pv_only!D29</f>
        <v>111549</v>
      </c>
      <c r="E29">
        <f>pv_only!E29</f>
        <v>32.869999999999997</v>
      </c>
      <c r="F29">
        <f>pv_only!F29</f>
        <v>-117.15</v>
      </c>
      <c r="G29">
        <f>pv_only!G29</f>
        <v>2019</v>
      </c>
      <c r="H29" t="str">
        <f>pv_only!H29</f>
        <v>amy</v>
      </c>
      <c r="I29">
        <v>2743.1948586797298</v>
      </c>
      <c r="J29">
        <v>3743.7680070000001</v>
      </c>
      <c r="K29">
        <f t="shared" si="0"/>
        <v>1000.5731483202703</v>
      </c>
      <c r="L29">
        <f t="shared" ref="L29" si="24">(I29-I28)/I28</f>
        <v>2.1457119509563707E-2</v>
      </c>
      <c r="M29">
        <f t="shared" ref="M29" si="25">(J29-J28)/J28</f>
        <v>2.8860971169775384E-2</v>
      </c>
      <c r="N29">
        <v>11166.9532066142</v>
      </c>
      <c r="P29">
        <f t="shared" ref="P29" si="26">(N29-N28)/N28</f>
        <v>-5.9444365431432023E-3</v>
      </c>
    </row>
    <row r="30" spans="1:16" x14ac:dyDescent="0.3">
      <c r="A30" t="str">
        <f>pv_only!A30</f>
        <v>california</v>
      </c>
      <c r="B30" t="str">
        <f>pv_only!B30</f>
        <v>CA</v>
      </c>
      <c r="C30" t="str">
        <f>pv_only!C30</f>
        <v>sdge</v>
      </c>
      <c r="D30">
        <f>pv_only!D30</f>
        <v>111549</v>
      </c>
      <c r="E30">
        <f>pv_only!E30</f>
        <v>32.869999999999997</v>
      </c>
      <c r="F30">
        <f>pv_only!F30</f>
        <v>-117.15</v>
      </c>
      <c r="G30">
        <f>pv_only!G30</f>
        <v>2020</v>
      </c>
      <c r="H30" t="str">
        <f>pv_only!H30</f>
        <v>tmy</v>
      </c>
      <c r="I30">
        <v>2872.3512931251298</v>
      </c>
      <c r="J30">
        <v>3810.938502</v>
      </c>
      <c r="K30">
        <f t="shared" si="0"/>
        <v>938.58720887487016</v>
      </c>
      <c r="N30">
        <v>11233.731410124399</v>
      </c>
    </row>
    <row r="31" spans="1:16" x14ac:dyDescent="0.3">
      <c r="A31" t="str">
        <f>pv_only!A31</f>
        <v>california</v>
      </c>
      <c r="B31" t="str">
        <f>pv_only!B31</f>
        <v>CA</v>
      </c>
      <c r="C31" t="str">
        <f>pv_only!C31</f>
        <v>sdge</v>
      </c>
      <c r="D31">
        <f>pv_only!D31</f>
        <v>111549</v>
      </c>
      <c r="E31">
        <f>pv_only!E31</f>
        <v>32.869999999999997</v>
      </c>
      <c r="F31">
        <f>pv_only!F31</f>
        <v>-117.15</v>
      </c>
      <c r="G31">
        <f>pv_only!G31</f>
        <v>2020</v>
      </c>
      <c r="H31" t="str">
        <f>pv_only!H31</f>
        <v>amy</v>
      </c>
      <c r="I31">
        <v>2983.9092792648298</v>
      </c>
      <c r="J31">
        <v>3972.2484410000002</v>
      </c>
      <c r="K31">
        <f t="shared" si="0"/>
        <v>988.33916173517036</v>
      </c>
      <c r="L31">
        <f t="shared" ref="L31" si="27">(I31-I30)/I30</f>
        <v>3.8838559338723662E-2</v>
      </c>
      <c r="M31">
        <f t="shared" ref="M31" si="28">(J31-J30)/J30</f>
        <v>4.2328140145883736E-2</v>
      </c>
      <c r="N31">
        <v>11558.1056132175</v>
      </c>
      <c r="P31">
        <f t="shared" ref="P31" si="29">(N31-N30)/N30</f>
        <v>2.8875018571367882E-2</v>
      </c>
    </row>
    <row r="32" spans="1:16" x14ac:dyDescent="0.3">
      <c r="A32" t="str">
        <f>pv_only!A32</f>
        <v>california</v>
      </c>
      <c r="B32" t="str">
        <f>pv_only!B32</f>
        <v>CA</v>
      </c>
      <c r="C32" t="str">
        <f>pv_only!C32</f>
        <v>sdge</v>
      </c>
      <c r="D32">
        <f>pv_only!D32</f>
        <v>111549</v>
      </c>
      <c r="E32">
        <f>pv_only!E32</f>
        <v>32.869999999999997</v>
      </c>
      <c r="F32">
        <f>pv_only!F32</f>
        <v>-117.15</v>
      </c>
      <c r="G32">
        <f>pv_only!G32</f>
        <v>2021</v>
      </c>
      <c r="H32" t="str">
        <f>pv_only!H32</f>
        <v>tmy</v>
      </c>
      <c r="I32">
        <v>2751.50901707921</v>
      </c>
      <c r="J32">
        <v>3732.3070429999998</v>
      </c>
      <c r="K32">
        <f t="shared" si="0"/>
        <v>980.79802592078977</v>
      </c>
      <c r="N32">
        <v>11233.731410124399</v>
      </c>
    </row>
    <row r="33" spans="1:16" x14ac:dyDescent="0.3">
      <c r="A33" t="str">
        <f>pv_only!A33</f>
        <v>california</v>
      </c>
      <c r="B33" t="str">
        <f>pv_only!B33</f>
        <v>CA</v>
      </c>
      <c r="C33" t="str">
        <f>pv_only!C33</f>
        <v>sdge</v>
      </c>
      <c r="D33">
        <f>pv_only!D33</f>
        <v>111549</v>
      </c>
      <c r="E33">
        <f>pv_only!E33</f>
        <v>32.869999999999997</v>
      </c>
      <c r="F33">
        <f>pv_only!F33</f>
        <v>-117.15</v>
      </c>
      <c r="G33">
        <f>pv_only!G33</f>
        <v>2021</v>
      </c>
      <c r="H33" t="str">
        <f>pv_only!H33</f>
        <v>amy</v>
      </c>
      <c r="I33">
        <v>2807.63112715545</v>
      </c>
      <c r="J33">
        <v>3790.433106</v>
      </c>
      <c r="K33">
        <f t="shared" si="0"/>
        <v>982.80197884454992</v>
      </c>
      <c r="L33">
        <f t="shared" ref="L33" si="30">(I33-I32)/I32</f>
        <v>2.0396847594493769E-2</v>
      </c>
      <c r="M33">
        <f t="shared" ref="M33" si="31">(J33-J32)/J32</f>
        <v>1.5573762375476717E-2</v>
      </c>
      <c r="N33">
        <v>11237.1429902912</v>
      </c>
      <c r="P33">
        <f t="shared" ref="P33" si="32">(N33-N32)/N32</f>
        <v>3.0369073660837219E-4</v>
      </c>
    </row>
    <row r="34" spans="1:16" x14ac:dyDescent="0.3">
      <c r="A34" t="str">
        <f>pv_only!A34</f>
        <v>california</v>
      </c>
      <c r="B34" t="str">
        <f>pv_only!B34</f>
        <v>CA</v>
      </c>
      <c r="C34" t="str">
        <f>pv_only!C34</f>
        <v>sdge</v>
      </c>
      <c r="D34">
        <f>pv_only!D34</f>
        <v>111549</v>
      </c>
      <c r="E34">
        <f>pv_only!E34</f>
        <v>32.869999999999997</v>
      </c>
      <c r="F34">
        <f>pv_only!F34</f>
        <v>-117.15</v>
      </c>
      <c r="G34">
        <f>pv_only!G34</f>
        <v>2022</v>
      </c>
      <c r="H34" t="str">
        <f>pv_only!H34</f>
        <v>tmy</v>
      </c>
      <c r="I34">
        <v>2906.8232366284901</v>
      </c>
      <c r="J34">
        <v>3867.316961</v>
      </c>
      <c r="K34">
        <f t="shared" si="0"/>
        <v>960.49372437150987</v>
      </c>
      <c r="N34">
        <v>11233.731410124399</v>
      </c>
    </row>
    <row r="35" spans="1:16" x14ac:dyDescent="0.3">
      <c r="A35" t="str">
        <f>pv_only!A35</f>
        <v>california</v>
      </c>
      <c r="B35" t="str">
        <f>pv_only!B35</f>
        <v>CA</v>
      </c>
      <c r="C35" t="str">
        <f>pv_only!C35</f>
        <v>sdge</v>
      </c>
      <c r="D35">
        <f>pv_only!D35</f>
        <v>111549</v>
      </c>
      <c r="E35">
        <f>pv_only!E35</f>
        <v>32.869999999999997</v>
      </c>
      <c r="F35">
        <f>pv_only!F35</f>
        <v>-117.15</v>
      </c>
      <c r="G35">
        <f>pv_only!G35</f>
        <v>2022</v>
      </c>
      <c r="H35" t="str">
        <f>pv_only!H35</f>
        <v>amy</v>
      </c>
      <c r="I35">
        <v>2980.7391993462502</v>
      </c>
      <c r="J35">
        <v>3967.3848469999998</v>
      </c>
      <c r="K35">
        <f t="shared" si="0"/>
        <v>986.64564765374962</v>
      </c>
      <c r="L35">
        <f t="shared" ref="L35" si="33">(I35-I34)/I34</f>
        <v>2.5428433964045326E-2</v>
      </c>
      <c r="M35">
        <f t="shared" ref="M35" si="34">(J35-J34)/J34</f>
        <v>2.5875273997227406E-2</v>
      </c>
      <c r="N35">
        <v>11681.257773011001</v>
      </c>
      <c r="P35">
        <f t="shared" ref="P35" si="35">(N35-N34)/N34</f>
        <v>3.9837730362973459E-2</v>
      </c>
    </row>
    <row r="36" spans="1:16" x14ac:dyDescent="0.3">
      <c r="A36" t="str">
        <f>pv_only!A36</f>
        <v>california</v>
      </c>
      <c r="B36" t="str">
        <f>pv_only!B36</f>
        <v>CA</v>
      </c>
      <c r="C36" t="str">
        <f>pv_only!C36</f>
        <v>sdge</v>
      </c>
      <c r="D36">
        <f>pv_only!D36</f>
        <v>111549</v>
      </c>
      <c r="E36">
        <f>pv_only!E36</f>
        <v>32.869999999999997</v>
      </c>
      <c r="F36">
        <f>pv_only!F36</f>
        <v>-117.15</v>
      </c>
      <c r="G36">
        <f>pv_only!G36</f>
        <v>2023</v>
      </c>
      <c r="H36" t="str">
        <f>pv_only!H36</f>
        <v>tmy</v>
      </c>
      <c r="I36">
        <v>2573.9640002183801</v>
      </c>
      <c r="J36">
        <v>3522.8180280000001</v>
      </c>
      <c r="K36">
        <f t="shared" si="0"/>
        <v>948.85402778162006</v>
      </c>
      <c r="N36">
        <v>11233.731410124399</v>
      </c>
    </row>
    <row r="37" spans="1:16" x14ac:dyDescent="0.3">
      <c r="A37" t="str">
        <f>pv_only!A37</f>
        <v>california</v>
      </c>
      <c r="B37" t="str">
        <f>pv_only!B37</f>
        <v>CA</v>
      </c>
      <c r="C37" t="str">
        <f>pv_only!C37</f>
        <v>sdge</v>
      </c>
      <c r="D37">
        <f>pv_only!D37</f>
        <v>111549</v>
      </c>
      <c r="E37">
        <f>pv_only!E37</f>
        <v>32.869999999999997</v>
      </c>
      <c r="F37">
        <f>pv_only!F37</f>
        <v>-117.15</v>
      </c>
      <c r="G37">
        <f>pv_only!G37</f>
        <v>2023</v>
      </c>
      <c r="H37" t="str">
        <f>pv_only!H37</f>
        <v>amy</v>
      </c>
      <c r="I37">
        <v>2576.9425357351702</v>
      </c>
      <c r="J37">
        <v>3522.217216</v>
      </c>
      <c r="K37">
        <f t="shared" si="0"/>
        <v>945.27468026482984</v>
      </c>
      <c r="L37">
        <f t="shared" ref="L37" si="36">(I37-I36)/I36</f>
        <v>1.157178389650121E-3</v>
      </c>
      <c r="M37">
        <f t="shared" ref="M37" si="37">(J37-J36)/J36</f>
        <v>-1.7054869006141371E-4</v>
      </c>
      <c r="N37">
        <v>10568.644647167799</v>
      </c>
      <c r="P37">
        <f t="shared" ref="P37" si="38">(N37-N36)/N36</f>
        <v>-5.9204438727918196E-2</v>
      </c>
    </row>
    <row r="38" spans="1:16" x14ac:dyDescent="0.3">
      <c r="A38" t="str">
        <f>pv_only!A38</f>
        <v>colorado</v>
      </c>
      <c r="B38" t="str">
        <f>pv_only!B38</f>
        <v>CO</v>
      </c>
      <c r="C38" t="str">
        <f>pv_only!C38</f>
        <v>xcel</v>
      </c>
      <c r="D38">
        <f>pv_only!D38</f>
        <v>126745</v>
      </c>
      <c r="E38">
        <f>pv_only!E38</f>
        <v>39.81</v>
      </c>
      <c r="F38">
        <f>pv_only!F38</f>
        <v>-105.14</v>
      </c>
      <c r="G38">
        <f>pv_only!G38</f>
        <v>2018</v>
      </c>
      <c r="H38" t="str">
        <f>pv_only!H38</f>
        <v>tmy</v>
      </c>
      <c r="I38">
        <v>1432.2930208712501</v>
      </c>
      <c r="J38">
        <v>1499.631748</v>
      </c>
      <c r="K38">
        <f t="shared" si="0"/>
        <v>67.338727128749952</v>
      </c>
      <c r="N38">
        <v>9971.3266799887006</v>
      </c>
    </row>
    <row r="39" spans="1:16" x14ac:dyDescent="0.3">
      <c r="A39" t="str">
        <f>pv_only!A39</f>
        <v>colorado</v>
      </c>
      <c r="B39" t="str">
        <f>pv_only!B39</f>
        <v>CO</v>
      </c>
      <c r="C39" t="str">
        <f>pv_only!C39</f>
        <v>xcel</v>
      </c>
      <c r="D39">
        <f>pv_only!D39</f>
        <v>126745</v>
      </c>
      <c r="E39">
        <f>pv_only!E39</f>
        <v>39.81</v>
      </c>
      <c r="F39">
        <f>pv_only!F39</f>
        <v>-105.14</v>
      </c>
      <c r="G39">
        <f>pv_only!G39</f>
        <v>2018</v>
      </c>
      <c r="H39" t="str">
        <f>pv_only!H39</f>
        <v>amy</v>
      </c>
      <c r="I39">
        <v>1463.17217822462</v>
      </c>
      <c r="J39">
        <v>1524.997104</v>
      </c>
      <c r="K39">
        <f t="shared" si="0"/>
        <v>61.824925775380052</v>
      </c>
      <c r="L39">
        <f t="shared" ref="L39" si="39">(I39-I38)/I38</f>
        <v>2.1559245841040561E-2</v>
      </c>
      <c r="M39">
        <f t="shared" ref="M39" si="40">(J39-J38)/J38</f>
        <v>1.691438983859124E-2</v>
      </c>
      <c r="N39">
        <v>10132.419670650201</v>
      </c>
      <c r="P39">
        <f t="shared" ref="P39" si="41">(N39-N38)/N38</f>
        <v>1.6155622599828681E-2</v>
      </c>
    </row>
    <row r="40" spans="1:16" x14ac:dyDescent="0.3">
      <c r="A40" t="str">
        <f>pv_only!A40</f>
        <v>colorado</v>
      </c>
      <c r="B40" t="str">
        <f>pv_only!B40</f>
        <v>CO</v>
      </c>
      <c r="C40" t="str">
        <f>pv_only!C40</f>
        <v>xcel</v>
      </c>
      <c r="D40">
        <f>pv_only!D40</f>
        <v>126745</v>
      </c>
      <c r="E40">
        <f>pv_only!E40</f>
        <v>39.81</v>
      </c>
      <c r="F40">
        <f>pv_only!F40</f>
        <v>-105.14</v>
      </c>
      <c r="G40">
        <f>pv_only!G40</f>
        <v>2019</v>
      </c>
      <c r="H40" t="str">
        <f>pv_only!H40</f>
        <v>tmy</v>
      </c>
      <c r="I40">
        <v>1432.2930208712501</v>
      </c>
      <c r="J40">
        <v>1496.7335720000001</v>
      </c>
      <c r="K40">
        <f t="shared" si="0"/>
        <v>64.44055112875003</v>
      </c>
      <c r="N40">
        <v>9971.3266799887006</v>
      </c>
    </row>
    <row r="41" spans="1:16" x14ac:dyDescent="0.3">
      <c r="A41" t="str">
        <f>pv_only!A41</f>
        <v>colorado</v>
      </c>
      <c r="B41" t="str">
        <f>pv_only!B41</f>
        <v>CO</v>
      </c>
      <c r="C41" t="str">
        <f>pv_only!C41</f>
        <v>xcel</v>
      </c>
      <c r="D41">
        <f>pv_only!D41</f>
        <v>126745</v>
      </c>
      <c r="E41">
        <f>pv_only!E41</f>
        <v>39.81</v>
      </c>
      <c r="F41">
        <f>pv_only!F41</f>
        <v>-105.14</v>
      </c>
      <c r="G41">
        <f>pv_only!G41</f>
        <v>2019</v>
      </c>
      <c r="H41" t="str">
        <f>pv_only!H41</f>
        <v>amy</v>
      </c>
      <c r="I41">
        <v>1447.30045403801</v>
      </c>
      <c r="J41">
        <v>1508.445318</v>
      </c>
      <c r="K41">
        <f t="shared" si="0"/>
        <v>61.14486396199004</v>
      </c>
      <c r="L41">
        <f t="shared" ref="L41" si="42">(I41-I40)/I40</f>
        <v>1.0477907067948331E-2</v>
      </c>
      <c r="M41">
        <f t="shared" ref="M41" si="43">(J41-J40)/J40</f>
        <v>7.8248702501876842E-3</v>
      </c>
      <c r="N41">
        <v>10064.847963513401</v>
      </c>
      <c r="P41">
        <f t="shared" ref="P41" si="44">(N41-N40)/N40</f>
        <v>9.3790211198662935E-3</v>
      </c>
    </row>
    <row r="42" spans="1:16" x14ac:dyDescent="0.3">
      <c r="A42" t="str">
        <f>pv_only!A42</f>
        <v>colorado</v>
      </c>
      <c r="B42" t="str">
        <f>pv_only!B42</f>
        <v>CO</v>
      </c>
      <c r="C42" t="str">
        <f>pv_only!C42</f>
        <v>xcel</v>
      </c>
      <c r="D42">
        <f>pv_only!D42</f>
        <v>126745</v>
      </c>
      <c r="E42">
        <f>pv_only!E42</f>
        <v>39.81</v>
      </c>
      <c r="F42">
        <f>pv_only!F42</f>
        <v>-105.14</v>
      </c>
      <c r="G42">
        <f>pv_only!G42</f>
        <v>2020</v>
      </c>
      <c r="H42" t="str">
        <f>pv_only!H42</f>
        <v>tmy</v>
      </c>
      <c r="I42">
        <v>1432.2930208712501</v>
      </c>
      <c r="J42">
        <v>1499.3794869999999</v>
      </c>
      <c r="K42">
        <f t="shared" si="0"/>
        <v>67.086466128749862</v>
      </c>
      <c r="N42">
        <v>9971.3266799887006</v>
      </c>
    </row>
    <row r="43" spans="1:16" x14ac:dyDescent="0.3">
      <c r="A43" t="str">
        <f>pv_only!A43</f>
        <v>colorado</v>
      </c>
      <c r="B43" t="str">
        <f>pv_only!B43</f>
        <v>CO</v>
      </c>
      <c r="C43" t="str">
        <f>pv_only!C43</f>
        <v>xcel</v>
      </c>
      <c r="D43">
        <f>pv_only!D43</f>
        <v>126745</v>
      </c>
      <c r="E43">
        <f>pv_only!E43</f>
        <v>39.81</v>
      </c>
      <c r="F43">
        <f>pv_only!F43</f>
        <v>-105.14</v>
      </c>
      <c r="G43">
        <f>pv_only!G43</f>
        <v>2020</v>
      </c>
      <c r="H43" t="str">
        <f>pv_only!H43</f>
        <v>amy</v>
      </c>
      <c r="I43">
        <v>1488.1414168075601</v>
      </c>
      <c r="J43">
        <v>1557.2722630000001</v>
      </c>
      <c r="K43">
        <f t="shared" si="0"/>
        <v>69.130846192440004</v>
      </c>
      <c r="L43">
        <f t="shared" ref="L43" si="45">(I43-I42)/I42</f>
        <v>3.8992297750873602E-2</v>
      </c>
      <c r="M43">
        <f t="shared" ref="M43" si="46">(J43-J42)/J42</f>
        <v>3.8611156483028597E-2</v>
      </c>
      <c r="N43">
        <v>10412.765156339799</v>
      </c>
      <c r="P43">
        <f t="shared" ref="P43" si="47">(N43-N42)/N42</f>
        <v>4.4270786678468253E-2</v>
      </c>
    </row>
    <row r="44" spans="1:16" x14ac:dyDescent="0.3">
      <c r="A44" t="str">
        <f>pv_only!A44</f>
        <v>colorado</v>
      </c>
      <c r="B44" t="str">
        <f>pv_only!B44</f>
        <v>CO</v>
      </c>
      <c r="C44" t="str">
        <f>pv_only!C44</f>
        <v>xcel</v>
      </c>
      <c r="D44">
        <f>pv_only!D44</f>
        <v>126745</v>
      </c>
      <c r="E44">
        <f>pv_only!E44</f>
        <v>39.81</v>
      </c>
      <c r="F44">
        <f>pv_only!F44</f>
        <v>-105.14</v>
      </c>
      <c r="G44">
        <f>pv_only!G44</f>
        <v>2021</v>
      </c>
      <c r="H44" t="str">
        <f>pv_only!H44</f>
        <v>tmy</v>
      </c>
      <c r="I44">
        <v>1432.2930208712501</v>
      </c>
      <c r="J44">
        <v>1498.7832559999999</v>
      </c>
      <c r="K44">
        <f t="shared" si="0"/>
        <v>66.490235128749873</v>
      </c>
      <c r="N44">
        <v>9971.3266799887006</v>
      </c>
    </row>
    <row r="45" spans="1:16" x14ac:dyDescent="0.3">
      <c r="A45" t="str">
        <f>pv_only!A45</f>
        <v>colorado</v>
      </c>
      <c r="B45" t="str">
        <f>pv_only!B45</f>
        <v>CO</v>
      </c>
      <c r="C45" t="str">
        <f>pv_only!C45</f>
        <v>xcel</v>
      </c>
      <c r="D45">
        <f>pv_only!D45</f>
        <v>126745</v>
      </c>
      <c r="E45">
        <f>pv_only!E45</f>
        <v>39.81</v>
      </c>
      <c r="F45">
        <f>pv_only!F45</f>
        <v>-105.14</v>
      </c>
      <c r="G45">
        <f>pv_only!G45</f>
        <v>2021</v>
      </c>
      <c r="H45" t="str">
        <f>pv_only!H45</f>
        <v>amy</v>
      </c>
      <c r="I45">
        <v>1495.1190646999501</v>
      </c>
      <c r="J45">
        <v>1557.0189029999999</v>
      </c>
      <c r="K45">
        <f t="shared" si="0"/>
        <v>61.899838300049851</v>
      </c>
      <c r="L45">
        <f t="shared" ref="L45" si="48">(I45-I44)/I44</f>
        <v>4.3863960036950762E-2</v>
      </c>
      <c r="M45">
        <f t="shared" ref="M45" si="49">(J45-J44)/J44</f>
        <v>3.8855282621331859E-2</v>
      </c>
      <c r="N45">
        <v>10363.643584973701</v>
      </c>
      <c r="P45">
        <f t="shared" ref="P45" si="50">(N45-N44)/N44</f>
        <v>3.9344504254617892E-2</v>
      </c>
    </row>
    <row r="46" spans="1:16" x14ac:dyDescent="0.3">
      <c r="A46" t="str">
        <f>pv_only!A46</f>
        <v>colorado</v>
      </c>
      <c r="B46" t="str">
        <f>pv_only!B46</f>
        <v>CO</v>
      </c>
      <c r="C46" t="str">
        <f>pv_only!C46</f>
        <v>xcel</v>
      </c>
      <c r="D46">
        <f>pv_only!D46</f>
        <v>126745</v>
      </c>
      <c r="E46">
        <f>pv_only!E46</f>
        <v>39.81</v>
      </c>
      <c r="F46">
        <f>pv_only!F46</f>
        <v>-105.14</v>
      </c>
      <c r="G46">
        <f>pv_only!G46</f>
        <v>2022</v>
      </c>
      <c r="H46" t="str">
        <f>pv_only!H46</f>
        <v>tmy</v>
      </c>
      <c r="I46">
        <v>1432.2930208712501</v>
      </c>
      <c r="J46">
        <v>1498.48224</v>
      </c>
      <c r="K46">
        <f t="shared" si="0"/>
        <v>66.189219128749983</v>
      </c>
      <c r="N46">
        <v>9971.3266799887006</v>
      </c>
    </row>
    <row r="47" spans="1:16" x14ac:dyDescent="0.3">
      <c r="A47" t="str">
        <f>pv_only!A47</f>
        <v>colorado</v>
      </c>
      <c r="B47" t="str">
        <f>pv_only!B47</f>
        <v>CO</v>
      </c>
      <c r="C47" t="str">
        <f>pv_only!C47</f>
        <v>xcel</v>
      </c>
      <c r="D47">
        <f>pv_only!D47</f>
        <v>126745</v>
      </c>
      <c r="E47">
        <f>pv_only!E47</f>
        <v>39.81</v>
      </c>
      <c r="F47">
        <f>pv_only!F47</f>
        <v>-105.14</v>
      </c>
      <c r="G47">
        <f>pv_only!G47</f>
        <v>2022</v>
      </c>
      <c r="H47" t="str">
        <f>pv_only!H47</f>
        <v>amy</v>
      </c>
      <c r="I47">
        <v>1495.0793737168799</v>
      </c>
      <c r="J47">
        <v>1554.059301</v>
      </c>
      <c r="K47">
        <f t="shared" si="0"/>
        <v>58.979927283120105</v>
      </c>
      <c r="L47">
        <f t="shared" ref="L47" si="51">(I47-I46)/I46</f>
        <v>4.3836248540426108E-2</v>
      </c>
      <c r="M47">
        <f t="shared" ref="M47" si="52">(J47-J46)/J46</f>
        <v>3.7088902034634698E-2</v>
      </c>
      <c r="N47">
        <v>10419.8927859792</v>
      </c>
      <c r="P47">
        <f t="shared" ref="P47" si="53">(N47-N46)/N46</f>
        <v>4.4985599247361931E-2</v>
      </c>
    </row>
    <row r="48" spans="1:16" x14ac:dyDescent="0.3">
      <c r="A48" t="str">
        <f>pv_only!A48</f>
        <v>colorado</v>
      </c>
      <c r="B48" t="str">
        <f>pv_only!B48</f>
        <v>CO</v>
      </c>
      <c r="C48" t="str">
        <f>pv_only!C48</f>
        <v>xcel</v>
      </c>
      <c r="D48">
        <f>pv_only!D48</f>
        <v>126745</v>
      </c>
      <c r="E48">
        <f>pv_only!E48</f>
        <v>39.81</v>
      </c>
      <c r="F48">
        <f>pv_only!F48</f>
        <v>-105.14</v>
      </c>
      <c r="G48">
        <f>pv_only!G48</f>
        <v>2023</v>
      </c>
      <c r="H48" t="str">
        <f>pv_only!H48</f>
        <v>tmy</v>
      </c>
      <c r="I48">
        <v>1432.2930208712501</v>
      </c>
      <c r="J48">
        <v>1496.417209</v>
      </c>
      <c r="K48">
        <f t="shared" si="0"/>
        <v>64.124188128749893</v>
      </c>
      <c r="N48">
        <v>9971.3266799887006</v>
      </c>
    </row>
    <row r="49" spans="1:16" x14ac:dyDescent="0.3">
      <c r="A49" t="str">
        <f>pv_only!A49</f>
        <v>colorado</v>
      </c>
      <c r="B49" t="str">
        <f>pv_only!B49</f>
        <v>CO</v>
      </c>
      <c r="C49" t="str">
        <f>pv_only!C49</f>
        <v>xcel</v>
      </c>
      <c r="D49">
        <f>pv_only!D49</f>
        <v>126745</v>
      </c>
      <c r="E49">
        <f>pv_only!E49</f>
        <v>39.81</v>
      </c>
      <c r="F49">
        <f>pv_only!F49</f>
        <v>-105.14</v>
      </c>
      <c r="G49">
        <f>pv_only!G49</f>
        <v>2023</v>
      </c>
      <c r="H49" t="str">
        <f>pv_only!H49</f>
        <v>amy</v>
      </c>
      <c r="I49">
        <v>1470.33339705136</v>
      </c>
      <c r="J49">
        <v>1532.9656709999999</v>
      </c>
      <c r="K49">
        <f t="shared" si="0"/>
        <v>62.632273948639977</v>
      </c>
      <c r="L49">
        <f t="shared" ref="L49" si="54">(I49-I48)/I48</f>
        <v>2.6559073894649222E-2</v>
      </c>
      <c r="M49">
        <f t="shared" ref="M49" si="55">(J49-J48)/J48</f>
        <v>2.4423978673984877E-2</v>
      </c>
      <c r="N49">
        <v>10218.625688251899</v>
      </c>
      <c r="P49">
        <f t="shared" ref="P49" si="56">(N49-N48)/N48</f>
        <v>2.4801013566178625E-2</v>
      </c>
    </row>
    <row r="50" spans="1:16" x14ac:dyDescent="0.3">
      <c r="A50" t="str">
        <f>pv_only!A50</f>
        <v>massachusetts</v>
      </c>
      <c r="B50" t="str">
        <f>pv_only!B50</f>
        <v>MA</v>
      </c>
      <c r="C50" t="str">
        <f>pv_only!C50</f>
        <v>nationalgrid</v>
      </c>
      <c r="D50">
        <f>pv_only!D50</f>
        <v>305</v>
      </c>
      <c r="E50">
        <f>pv_only!E50</f>
        <v>41.88</v>
      </c>
      <c r="F50">
        <f>pv_only!F50</f>
        <v>-71.02</v>
      </c>
      <c r="G50">
        <f>pv_only!G50</f>
        <v>2018</v>
      </c>
      <c r="H50" t="str">
        <f>pv_only!H50</f>
        <v>tmy</v>
      </c>
      <c r="I50">
        <v>3712.4558953790402</v>
      </c>
      <c r="J50">
        <v>3712.355313</v>
      </c>
      <c r="K50">
        <f t="shared" si="0"/>
        <v>-0.10058237904013367</v>
      </c>
      <c r="N50">
        <v>8661.4478181212307</v>
      </c>
    </row>
    <row r="51" spans="1:16" x14ac:dyDescent="0.3">
      <c r="A51" t="str">
        <f>pv_only!A51</f>
        <v>massachusetts</v>
      </c>
      <c r="B51" t="str">
        <f>pv_only!B51</f>
        <v>MA</v>
      </c>
      <c r="C51" t="str">
        <f>pv_only!C51</f>
        <v>nationalgrid</v>
      </c>
      <c r="D51">
        <f>pv_only!D51</f>
        <v>305</v>
      </c>
      <c r="E51">
        <f>pv_only!E51</f>
        <v>41.88</v>
      </c>
      <c r="F51">
        <f>pv_only!F51</f>
        <v>-71.02</v>
      </c>
      <c r="G51">
        <f>pv_only!G51</f>
        <v>2018</v>
      </c>
      <c r="H51" t="str">
        <f>pv_only!H51</f>
        <v>amy</v>
      </c>
      <c r="I51">
        <v>3457.2178214843202</v>
      </c>
      <c r="J51">
        <v>3457.8478879999998</v>
      </c>
      <c r="K51">
        <f t="shared" si="0"/>
        <v>0.63006651567957306</v>
      </c>
      <c r="L51">
        <f t="shared" ref="L51" si="57">(I51-I50)/I50</f>
        <v>-6.8751813109057897E-2</v>
      </c>
      <c r="M51">
        <f t="shared" ref="M51" si="58">(J51-J50)/J50</f>
        <v>-6.8556860413862067E-2</v>
      </c>
      <c r="N51">
        <v>8004.4599915119697</v>
      </c>
      <c r="P51">
        <f t="shared" ref="P51" si="59">(N51-N50)/N50</f>
        <v>-7.5851963829272284E-2</v>
      </c>
    </row>
    <row r="52" spans="1:16" x14ac:dyDescent="0.3">
      <c r="A52" t="str">
        <f>pv_only!A52</f>
        <v>massachusetts</v>
      </c>
      <c r="B52" t="str">
        <f>pv_only!B52</f>
        <v>MA</v>
      </c>
      <c r="C52" t="str">
        <f>pv_only!C52</f>
        <v>nationalgrid</v>
      </c>
      <c r="D52">
        <f>pv_only!D52</f>
        <v>305</v>
      </c>
      <c r="E52">
        <f>pv_only!E52</f>
        <v>41.88</v>
      </c>
      <c r="F52">
        <f>pv_only!F52</f>
        <v>-71.02</v>
      </c>
      <c r="G52">
        <f>pv_only!G52</f>
        <v>2019</v>
      </c>
      <c r="H52" t="str">
        <f>pv_only!H52</f>
        <v>tmy</v>
      </c>
      <c r="I52">
        <v>3701.3660112551802</v>
      </c>
      <c r="J52">
        <v>3701.7411029999998</v>
      </c>
      <c r="K52">
        <f t="shared" si="0"/>
        <v>0.37509174481965601</v>
      </c>
      <c r="N52">
        <v>8661.4478181212307</v>
      </c>
    </row>
    <row r="53" spans="1:16" x14ac:dyDescent="0.3">
      <c r="A53" t="str">
        <f>pv_only!A53</f>
        <v>massachusetts</v>
      </c>
      <c r="B53" t="str">
        <f>pv_only!B53</f>
        <v>MA</v>
      </c>
      <c r="C53" t="str">
        <f>pv_only!C53</f>
        <v>nationalgrid</v>
      </c>
      <c r="D53">
        <f>pv_only!D53</f>
        <v>305</v>
      </c>
      <c r="E53">
        <f>pv_only!E53</f>
        <v>41.88</v>
      </c>
      <c r="F53">
        <f>pv_only!F53</f>
        <v>-71.02</v>
      </c>
      <c r="G53">
        <f>pv_only!G53</f>
        <v>2019</v>
      </c>
      <c r="H53" t="str">
        <f>pv_only!H53</f>
        <v>amy</v>
      </c>
      <c r="I53">
        <v>3595.0514405896101</v>
      </c>
      <c r="J53">
        <v>3595.0541370000001</v>
      </c>
      <c r="K53">
        <f t="shared" si="0"/>
        <v>2.6964103899445035E-3</v>
      </c>
      <c r="L53">
        <f t="shared" ref="L53" si="60">(I53-I52)/I52</f>
        <v>-2.8723063415584081E-2</v>
      </c>
      <c r="M53">
        <f t="shared" ref="M53" si="61">(J53-J52)/J52</f>
        <v>-2.8820753000132156E-2</v>
      </c>
      <c r="N53">
        <v>8341.0215201944902</v>
      </c>
      <c r="P53">
        <f t="shared" ref="P53" si="62">(N53-N52)/N52</f>
        <v>-3.6994542327710371E-2</v>
      </c>
    </row>
    <row r="54" spans="1:16" x14ac:dyDescent="0.3">
      <c r="A54" t="str">
        <f>pv_only!A54</f>
        <v>massachusetts</v>
      </c>
      <c r="B54" t="str">
        <f>pv_only!B54</f>
        <v>MA</v>
      </c>
      <c r="C54" t="str">
        <f>pv_only!C54</f>
        <v>nationalgrid</v>
      </c>
      <c r="D54">
        <f>pv_only!D54</f>
        <v>305</v>
      </c>
      <c r="E54">
        <f>pv_only!E54</f>
        <v>41.88</v>
      </c>
      <c r="F54">
        <f>pv_only!F54</f>
        <v>-71.02</v>
      </c>
      <c r="G54">
        <f>pv_only!G54</f>
        <v>2020</v>
      </c>
      <c r="H54" t="str">
        <f>pv_only!H54</f>
        <v>tmy</v>
      </c>
      <c r="I54">
        <v>3721.3652963785598</v>
      </c>
      <c r="J54">
        <v>3720.8014309999999</v>
      </c>
      <c r="K54">
        <f t="shared" si="0"/>
        <v>-0.56386537855996721</v>
      </c>
      <c r="N54">
        <v>8661.4478181212307</v>
      </c>
    </row>
    <row r="55" spans="1:16" x14ac:dyDescent="0.3">
      <c r="A55" t="str">
        <f>pv_only!A55</f>
        <v>massachusetts</v>
      </c>
      <c r="B55" t="str">
        <f>pv_only!B55</f>
        <v>MA</v>
      </c>
      <c r="C55" t="str">
        <f>pv_only!C55</f>
        <v>nationalgrid</v>
      </c>
      <c r="D55">
        <f>pv_only!D55</f>
        <v>305</v>
      </c>
      <c r="E55">
        <f>pv_only!E55</f>
        <v>41.88</v>
      </c>
      <c r="F55">
        <f>pv_only!F55</f>
        <v>-71.02</v>
      </c>
      <c r="G55">
        <f>pv_only!G55</f>
        <v>2020</v>
      </c>
      <c r="H55" t="str">
        <f>pv_only!H55</f>
        <v>amy</v>
      </c>
      <c r="I55">
        <v>3558.3595187123201</v>
      </c>
      <c r="J55">
        <v>3558.1106840000002</v>
      </c>
      <c r="K55">
        <f t="shared" si="0"/>
        <v>-0.24883471231987642</v>
      </c>
      <c r="L55">
        <f t="shared" ref="L55" si="63">(I55-I54)/I54</f>
        <v>-4.3802681189312034E-2</v>
      </c>
      <c r="M55">
        <f t="shared" ref="M55" si="64">(J55-J54)/J54</f>
        <v>-4.3724651803381781E-2</v>
      </c>
      <c r="N55">
        <v>8298.3523700333099</v>
      </c>
      <c r="P55">
        <f t="shared" ref="P55" si="65">(N55-N54)/N54</f>
        <v>-4.192087231978274E-2</v>
      </c>
    </row>
    <row r="56" spans="1:16" x14ac:dyDescent="0.3">
      <c r="A56" t="str">
        <f>pv_only!A56</f>
        <v>massachusetts</v>
      </c>
      <c r="B56" t="str">
        <f>pv_only!B56</f>
        <v>MA</v>
      </c>
      <c r="C56" t="str">
        <f>pv_only!C56</f>
        <v>nationalgrid</v>
      </c>
      <c r="D56">
        <f>pv_only!D56</f>
        <v>305</v>
      </c>
      <c r="E56">
        <f>pv_only!E56</f>
        <v>41.88</v>
      </c>
      <c r="F56">
        <f>pv_only!F56</f>
        <v>-71.02</v>
      </c>
      <c r="G56">
        <f>pv_only!G56</f>
        <v>2021</v>
      </c>
      <c r="H56" t="str">
        <f>pv_only!H56</f>
        <v>tmy</v>
      </c>
      <c r="I56">
        <v>3723.5105038557999</v>
      </c>
      <c r="J56">
        <v>3722.0833189999998</v>
      </c>
      <c r="K56">
        <f t="shared" si="0"/>
        <v>-1.4271848558000784</v>
      </c>
      <c r="N56">
        <v>8661.4478181212307</v>
      </c>
    </row>
    <row r="57" spans="1:16" x14ac:dyDescent="0.3">
      <c r="A57" t="str">
        <f>pv_only!A57</f>
        <v>massachusetts</v>
      </c>
      <c r="B57" t="str">
        <f>pv_only!B57</f>
        <v>MA</v>
      </c>
      <c r="C57" t="str">
        <f>pv_only!C57</f>
        <v>nationalgrid</v>
      </c>
      <c r="D57">
        <f>pv_only!D57</f>
        <v>305</v>
      </c>
      <c r="E57">
        <f>pv_only!E57</f>
        <v>41.88</v>
      </c>
      <c r="F57">
        <f>pv_only!F57</f>
        <v>-71.02</v>
      </c>
      <c r="G57">
        <f>pv_only!G57</f>
        <v>2021</v>
      </c>
      <c r="H57" t="str">
        <f>pv_only!H57</f>
        <v>amy</v>
      </c>
      <c r="I57">
        <v>3640.6083248489499</v>
      </c>
      <c r="J57">
        <v>3640.4583429999998</v>
      </c>
      <c r="K57">
        <f t="shared" si="0"/>
        <v>-0.14998184895011946</v>
      </c>
      <c r="L57">
        <f t="shared" ref="L57" si="66">(I57-I56)/I56</f>
        <v>-2.2264521322285107E-2</v>
      </c>
      <c r="M57">
        <f t="shared" ref="M57" si="67">(J57-J56)/J56</f>
        <v>-2.1929916394759798E-2</v>
      </c>
      <c r="N57">
        <v>8528.9182685974192</v>
      </c>
      <c r="P57">
        <f t="shared" ref="P57" si="68">(N57-N56)/N56</f>
        <v>-1.5301085027209541E-2</v>
      </c>
    </row>
    <row r="58" spans="1:16" x14ac:dyDescent="0.3">
      <c r="A58" t="str">
        <f>pv_only!A58</f>
        <v>massachusetts</v>
      </c>
      <c r="B58" t="str">
        <f>pv_only!B58</f>
        <v>MA</v>
      </c>
      <c r="C58" t="str">
        <f>pv_only!C58</f>
        <v>nationalgrid</v>
      </c>
      <c r="D58">
        <f>pv_only!D58</f>
        <v>305</v>
      </c>
      <c r="E58">
        <f>pv_only!E58</f>
        <v>41.88</v>
      </c>
      <c r="F58">
        <f>pv_only!F58</f>
        <v>-71.02</v>
      </c>
      <c r="G58">
        <f>pv_only!G58</f>
        <v>2022</v>
      </c>
      <c r="H58" t="str">
        <f>pv_only!H58</f>
        <v>tmy</v>
      </c>
      <c r="I58">
        <v>3724.4702657642201</v>
      </c>
      <c r="J58">
        <v>3724.7958229999999</v>
      </c>
      <c r="K58">
        <f t="shared" si="0"/>
        <v>0.32555723577979734</v>
      </c>
      <c r="N58">
        <v>8661.4478181212307</v>
      </c>
    </row>
    <row r="59" spans="1:16" x14ac:dyDescent="0.3">
      <c r="A59" t="str">
        <f>pv_only!A59</f>
        <v>massachusetts</v>
      </c>
      <c r="B59" t="str">
        <f>pv_only!B59</f>
        <v>MA</v>
      </c>
      <c r="C59" t="str">
        <f>pv_only!C59</f>
        <v>nationalgrid</v>
      </c>
      <c r="D59">
        <f>pv_only!D59</f>
        <v>305</v>
      </c>
      <c r="E59">
        <f>pv_only!E59</f>
        <v>41.88</v>
      </c>
      <c r="F59">
        <f>pv_only!F59</f>
        <v>-71.02</v>
      </c>
      <c r="G59">
        <f>pv_only!G59</f>
        <v>2022</v>
      </c>
      <c r="H59" t="str">
        <f>pv_only!H59</f>
        <v>amy</v>
      </c>
      <c r="I59">
        <v>3807.39012668034</v>
      </c>
      <c r="J59">
        <v>3807.3905239999999</v>
      </c>
      <c r="K59">
        <f t="shared" si="0"/>
        <v>3.9731965989631135E-4</v>
      </c>
      <c r="L59">
        <f t="shared" ref="L59" si="69">(I59-I58)/I58</f>
        <v>2.2263531455286204E-2</v>
      </c>
      <c r="M59">
        <f t="shared" ref="M59" si="70">(J59-J58)/J58</f>
        <v>2.2174289524808669E-2</v>
      </c>
      <c r="N59">
        <v>8899.9742830232099</v>
      </c>
      <c r="P59">
        <f t="shared" ref="P59" si="71">(N59-N58)/N58</f>
        <v>2.7538867624756793E-2</v>
      </c>
    </row>
    <row r="60" spans="1:16" x14ac:dyDescent="0.3">
      <c r="A60" t="str">
        <f>pv_only!A60</f>
        <v>massachusetts</v>
      </c>
      <c r="B60" t="str">
        <f>pv_only!B60</f>
        <v>MA</v>
      </c>
      <c r="C60" t="str">
        <f>pv_only!C60</f>
        <v>nationalgrid</v>
      </c>
      <c r="D60">
        <f>pv_only!D60</f>
        <v>305</v>
      </c>
      <c r="E60">
        <f>pv_only!E60</f>
        <v>41.88</v>
      </c>
      <c r="F60">
        <f>pv_only!F60</f>
        <v>-71.02</v>
      </c>
      <c r="G60">
        <f>pv_only!G60</f>
        <v>2023</v>
      </c>
      <c r="H60" t="str">
        <f>pv_only!H60</f>
        <v>tmy</v>
      </c>
      <c r="I60">
        <v>3711.5638549608898</v>
      </c>
      <c r="J60">
        <v>3710.5274720000002</v>
      </c>
      <c r="K60">
        <f t="shared" si="0"/>
        <v>-1.0363829608895685</v>
      </c>
      <c r="N60">
        <v>8661.4478181212307</v>
      </c>
    </row>
    <row r="61" spans="1:16" x14ac:dyDescent="0.3">
      <c r="A61" t="str">
        <f>pv_only!A61</f>
        <v>massachusetts</v>
      </c>
      <c r="B61" t="str">
        <f>pv_only!B61</f>
        <v>MA</v>
      </c>
      <c r="C61" t="str">
        <f>pv_only!C61</f>
        <v>nationalgrid</v>
      </c>
      <c r="D61">
        <f>pv_only!D61</f>
        <v>305</v>
      </c>
      <c r="E61">
        <f>pv_only!E61</f>
        <v>41.88</v>
      </c>
      <c r="F61">
        <f>pv_only!F61</f>
        <v>-71.02</v>
      </c>
      <c r="G61">
        <f>pv_only!G61</f>
        <v>2023</v>
      </c>
      <c r="H61" t="str">
        <f>pv_only!H61</f>
        <v>amy</v>
      </c>
      <c r="I61">
        <v>3503.3970862855599</v>
      </c>
      <c r="J61">
        <v>3502.4156349999998</v>
      </c>
      <c r="K61">
        <f t="shared" si="0"/>
        <v>-0.98145128556006966</v>
      </c>
      <c r="L61">
        <f t="shared" ref="L61" si="72">(I61-I60)/I60</f>
        <v>-5.608599954358684E-2</v>
      </c>
      <c r="M61">
        <f t="shared" ref="M61" si="73">(J61-J60)/J60</f>
        <v>-5.6086860579912821E-2</v>
      </c>
      <c r="N61">
        <v>8217.0215564048303</v>
      </c>
      <c r="P61">
        <f t="shared" ref="P61" si="74">(N61-N60)/N60</f>
        <v>-5.1310851378286275E-2</v>
      </c>
    </row>
    <row r="62" spans="1:16" x14ac:dyDescent="0.3">
      <c r="A62" t="str">
        <f>pv_only!A62</f>
        <v>minnesota</v>
      </c>
      <c r="B62" t="str">
        <f>pv_only!B62</f>
        <v>MN</v>
      </c>
      <c r="C62" t="str">
        <f>pv_only!C62</f>
        <v>xcel</v>
      </c>
      <c r="D62">
        <f>pv_only!D62</f>
        <v>442412</v>
      </c>
      <c r="E62">
        <f>pv_only!E62</f>
        <v>44.85</v>
      </c>
      <c r="F62">
        <f>pv_only!F62</f>
        <v>-93.03</v>
      </c>
      <c r="G62">
        <f>pv_only!G62</f>
        <v>2018</v>
      </c>
      <c r="H62" t="str">
        <f>pv_only!H62</f>
        <v>tmy</v>
      </c>
      <c r="I62">
        <v>1787.8769031122599</v>
      </c>
      <c r="J62">
        <v>1666.660302</v>
      </c>
      <c r="K62">
        <f t="shared" si="0"/>
        <v>-121.21660111225992</v>
      </c>
      <c r="N62">
        <v>8445.3204160173009</v>
      </c>
    </row>
    <row r="63" spans="1:16" x14ac:dyDescent="0.3">
      <c r="A63" t="str">
        <f>pv_only!A63</f>
        <v>minnesota</v>
      </c>
      <c r="B63" t="str">
        <f>pv_only!B63</f>
        <v>MN</v>
      </c>
      <c r="C63" t="str">
        <f>pv_only!C63</f>
        <v>xcel</v>
      </c>
      <c r="D63">
        <f>pv_only!D63</f>
        <v>442412</v>
      </c>
      <c r="E63">
        <f>pv_only!E63</f>
        <v>44.85</v>
      </c>
      <c r="F63">
        <f>pv_only!F63</f>
        <v>-93.03</v>
      </c>
      <c r="G63">
        <f>pv_only!G63</f>
        <v>2018</v>
      </c>
      <c r="H63" t="str">
        <f>pv_only!H63</f>
        <v>amy</v>
      </c>
      <c r="I63">
        <v>1687.3010949049001</v>
      </c>
      <c r="J63">
        <v>1611.268155</v>
      </c>
      <c r="K63">
        <f t="shared" si="0"/>
        <v>-76.032939904900104</v>
      </c>
      <c r="L63">
        <f t="shared" ref="L63" si="75">(I63-I62)/I62</f>
        <v>-5.625432491033458E-2</v>
      </c>
      <c r="M63">
        <f t="shared" ref="M63" si="76">(J63-J62)/J62</f>
        <v>-3.3235415119403269E-2</v>
      </c>
      <c r="N63">
        <v>8107.6463430990098</v>
      </c>
      <c r="P63">
        <f t="shared" ref="P63" si="77">(N63-N62)/N62</f>
        <v>-3.9983571526529912E-2</v>
      </c>
    </row>
    <row r="64" spans="1:16" x14ac:dyDescent="0.3">
      <c r="A64" t="str">
        <f>pv_only!A64</f>
        <v>minnesota</v>
      </c>
      <c r="B64" t="str">
        <f>pv_only!B64</f>
        <v>MN</v>
      </c>
      <c r="C64" t="str">
        <f>pv_only!C64</f>
        <v>xcel</v>
      </c>
      <c r="D64">
        <f>pv_only!D64</f>
        <v>442412</v>
      </c>
      <c r="E64">
        <f>pv_only!E64</f>
        <v>44.85</v>
      </c>
      <c r="F64">
        <f>pv_only!F64</f>
        <v>-93.03</v>
      </c>
      <c r="G64">
        <f>pv_only!G64</f>
        <v>2019</v>
      </c>
      <c r="H64" t="str">
        <f>pv_only!H64</f>
        <v>tmy</v>
      </c>
      <c r="I64">
        <v>1787.8769029607699</v>
      </c>
      <c r="J64">
        <v>1674.749243</v>
      </c>
      <c r="K64">
        <f t="shared" si="0"/>
        <v>-113.12765996076996</v>
      </c>
      <c r="N64">
        <v>8445.3204160173009</v>
      </c>
    </row>
    <row r="65" spans="1:16" x14ac:dyDescent="0.3">
      <c r="A65" t="str">
        <f>pv_only!A65</f>
        <v>minnesota</v>
      </c>
      <c r="B65" t="str">
        <f>pv_only!B65</f>
        <v>MN</v>
      </c>
      <c r="C65" t="str">
        <f>pv_only!C65</f>
        <v>xcel</v>
      </c>
      <c r="D65">
        <f>pv_only!D65</f>
        <v>442412</v>
      </c>
      <c r="E65">
        <f>pv_only!E65</f>
        <v>44.85</v>
      </c>
      <c r="F65">
        <f>pv_only!F65</f>
        <v>-93.03</v>
      </c>
      <c r="G65">
        <f>pv_only!G65</f>
        <v>2019</v>
      </c>
      <c r="H65" t="str">
        <f>pv_only!H65</f>
        <v>amy</v>
      </c>
      <c r="I65">
        <v>1691.37684085408</v>
      </c>
      <c r="J65">
        <v>1595.8502329999999</v>
      </c>
      <c r="K65">
        <f t="shared" si="0"/>
        <v>-95.526607854080112</v>
      </c>
      <c r="L65">
        <f t="shared" ref="L65" si="78">(I65-I64)/I64</f>
        <v>-5.3974667913033257E-2</v>
      </c>
      <c r="M65">
        <f t="shared" ref="M65" si="79">(J65-J64)/J64</f>
        <v>-4.7110939341980101E-2</v>
      </c>
      <c r="N65">
        <v>7903.0696634712504</v>
      </c>
      <c r="P65">
        <f t="shared" ref="P65" si="80">(N65-N64)/N64</f>
        <v>-6.4207244466133434E-2</v>
      </c>
    </row>
    <row r="66" spans="1:16" x14ac:dyDescent="0.3">
      <c r="A66" t="str">
        <f>pv_only!A66</f>
        <v>minnesota</v>
      </c>
      <c r="B66" t="str">
        <f>pv_only!B66</f>
        <v>MN</v>
      </c>
      <c r="C66" t="str">
        <f>pv_only!C66</f>
        <v>xcel</v>
      </c>
      <c r="D66">
        <f>pv_only!D66</f>
        <v>442412</v>
      </c>
      <c r="E66">
        <f>pv_only!E66</f>
        <v>44.85</v>
      </c>
      <c r="F66">
        <f>pv_only!F66</f>
        <v>-93.03</v>
      </c>
      <c r="G66">
        <f>pv_only!G66</f>
        <v>2020</v>
      </c>
      <c r="H66" t="str">
        <f>pv_only!H66</f>
        <v>tmy</v>
      </c>
      <c r="I66">
        <v>1787.8769029423499</v>
      </c>
      <c r="J66">
        <v>1672.0418749999999</v>
      </c>
      <c r="K66">
        <f t="shared" si="0"/>
        <v>-115.83502794235005</v>
      </c>
      <c r="N66">
        <v>8445.3204160173009</v>
      </c>
    </row>
    <row r="67" spans="1:16" x14ac:dyDescent="0.3">
      <c r="A67" t="str">
        <f>pv_only!A67</f>
        <v>minnesota</v>
      </c>
      <c r="B67" t="str">
        <f>pv_only!B67</f>
        <v>MN</v>
      </c>
      <c r="C67" t="str">
        <f>pv_only!C67</f>
        <v>xcel</v>
      </c>
      <c r="D67">
        <f>pv_only!D67</f>
        <v>442412</v>
      </c>
      <c r="E67">
        <f>pv_only!E67</f>
        <v>44.85</v>
      </c>
      <c r="F67">
        <f>pv_only!F67</f>
        <v>-93.03</v>
      </c>
      <c r="G67">
        <f>pv_only!G67</f>
        <v>2020</v>
      </c>
      <c r="H67" t="str">
        <f>pv_only!H67</f>
        <v>amy</v>
      </c>
      <c r="I67">
        <v>1769.32962731062</v>
      </c>
      <c r="J67">
        <v>1643.6234449999999</v>
      </c>
      <c r="K67">
        <f t="shared" ref="K67:K130" si="81">J67-I67</f>
        <v>-125.70618231062008</v>
      </c>
      <c r="L67">
        <f t="shared" ref="L67" si="82">(I67-I66)/I66</f>
        <v>-1.0373910866685643E-2</v>
      </c>
      <c r="M67">
        <f t="shared" ref="M67" si="83">(J67-J66)/J66</f>
        <v>-1.6996242991820971E-2</v>
      </c>
      <c r="N67">
        <v>8379.5805036512102</v>
      </c>
      <c r="P67">
        <f t="shared" ref="P67" si="84">(N67-N66)/N66</f>
        <v>-7.7841821420308851E-3</v>
      </c>
    </row>
    <row r="68" spans="1:16" x14ac:dyDescent="0.3">
      <c r="A68" t="str">
        <f>pv_only!A68</f>
        <v>minnesota</v>
      </c>
      <c r="B68" t="str">
        <f>pv_only!B68</f>
        <v>MN</v>
      </c>
      <c r="C68" t="str">
        <f>pv_only!C68</f>
        <v>xcel</v>
      </c>
      <c r="D68">
        <f>pv_only!D68</f>
        <v>442412</v>
      </c>
      <c r="E68">
        <f>pv_only!E68</f>
        <v>44.85</v>
      </c>
      <c r="F68">
        <f>pv_only!F68</f>
        <v>-93.03</v>
      </c>
      <c r="G68">
        <f>pv_only!G68</f>
        <v>2021</v>
      </c>
      <c r="H68" t="str">
        <f>pv_only!H68</f>
        <v>tmy</v>
      </c>
      <c r="I68">
        <v>1787.87690308263</v>
      </c>
      <c r="J68">
        <v>1716.6432119999999</v>
      </c>
      <c r="K68">
        <f t="shared" si="81"/>
        <v>-71.233691082630003</v>
      </c>
      <c r="N68">
        <v>8445.3204160173009</v>
      </c>
    </row>
    <row r="69" spans="1:16" x14ac:dyDescent="0.3">
      <c r="A69" t="str">
        <f>pv_only!A69</f>
        <v>minnesota</v>
      </c>
      <c r="B69" t="str">
        <f>pv_only!B69</f>
        <v>MN</v>
      </c>
      <c r="C69" t="str">
        <f>pv_only!C69</f>
        <v>xcel</v>
      </c>
      <c r="D69">
        <f>pv_only!D69</f>
        <v>442412</v>
      </c>
      <c r="E69">
        <f>pv_only!E69</f>
        <v>44.85</v>
      </c>
      <c r="F69">
        <f>pv_only!F69</f>
        <v>-93.03</v>
      </c>
      <c r="G69">
        <f>pv_only!G69</f>
        <v>2021</v>
      </c>
      <c r="H69" t="str">
        <f>pv_only!H69</f>
        <v>amy</v>
      </c>
      <c r="I69">
        <v>1841.7851080707701</v>
      </c>
      <c r="J69">
        <v>1728.1305030000001</v>
      </c>
      <c r="K69">
        <f t="shared" si="81"/>
        <v>-113.65460507077</v>
      </c>
      <c r="L69">
        <f t="shared" ref="L69" si="85">(I69-I68)/I68</f>
        <v>3.0152078644336441E-2</v>
      </c>
      <c r="M69">
        <f t="shared" ref="M69" si="86">(J69-J68)/J68</f>
        <v>6.6917172535909232E-3</v>
      </c>
      <c r="N69">
        <v>8654.3020047004593</v>
      </c>
      <c r="P69">
        <f t="shared" ref="P69" si="87">(N69-N68)/N68</f>
        <v>2.4745252801398304E-2</v>
      </c>
    </row>
    <row r="70" spans="1:16" x14ac:dyDescent="0.3">
      <c r="A70" t="str">
        <f>pv_only!A70</f>
        <v>minnesota</v>
      </c>
      <c r="B70" t="str">
        <f>pv_only!B70</f>
        <v>MN</v>
      </c>
      <c r="C70" t="str">
        <f>pv_only!C70</f>
        <v>xcel</v>
      </c>
      <c r="D70">
        <f>pv_only!D70</f>
        <v>442412</v>
      </c>
      <c r="E70">
        <f>pv_only!E70</f>
        <v>44.85</v>
      </c>
      <c r="F70">
        <f>pv_only!F70</f>
        <v>-93.03</v>
      </c>
      <c r="G70">
        <f>pv_only!G70</f>
        <v>2022</v>
      </c>
      <c r="H70" t="str">
        <f>pv_only!H70</f>
        <v>tmy</v>
      </c>
      <c r="I70">
        <v>1787.87690301519</v>
      </c>
      <c r="J70">
        <v>1685.686852</v>
      </c>
      <c r="K70">
        <f t="shared" si="81"/>
        <v>-102.19005101518997</v>
      </c>
      <c r="N70">
        <v>8445.3204160173009</v>
      </c>
    </row>
    <row r="71" spans="1:16" x14ac:dyDescent="0.3">
      <c r="A71" t="str">
        <f>pv_only!A71</f>
        <v>minnesota</v>
      </c>
      <c r="B71" t="str">
        <f>pv_only!B71</f>
        <v>MN</v>
      </c>
      <c r="C71" t="str">
        <f>pv_only!C71</f>
        <v>xcel</v>
      </c>
      <c r="D71">
        <f>pv_only!D71</f>
        <v>442412</v>
      </c>
      <c r="E71">
        <f>pv_only!E71</f>
        <v>44.85</v>
      </c>
      <c r="F71">
        <f>pv_only!F71</f>
        <v>-93.03</v>
      </c>
      <c r="G71">
        <f>pv_only!G71</f>
        <v>2022</v>
      </c>
      <c r="H71" t="str">
        <f>pv_only!H71</f>
        <v>amy</v>
      </c>
      <c r="I71">
        <v>1768.07664055226</v>
      </c>
      <c r="J71">
        <v>1667.697946</v>
      </c>
      <c r="K71">
        <f t="shared" si="81"/>
        <v>-100.37869455225996</v>
      </c>
      <c r="L71">
        <f t="shared" ref="L71" si="88">(I71-I70)/I70</f>
        <v>-1.1074734747978241E-2</v>
      </c>
      <c r="M71">
        <f t="shared" ref="M71" si="89">(J71-J70)/J70</f>
        <v>-1.0671558586730938E-2</v>
      </c>
      <c r="N71">
        <v>8352.7370720511699</v>
      </c>
      <c r="P71">
        <f t="shared" ref="P71" si="90">(N71-N70)/N70</f>
        <v>-1.0962679851736407E-2</v>
      </c>
    </row>
    <row r="72" spans="1:16" x14ac:dyDescent="0.3">
      <c r="A72" t="str">
        <f>pv_only!A72</f>
        <v>minnesota</v>
      </c>
      <c r="B72" t="str">
        <f>pv_only!B72</f>
        <v>MN</v>
      </c>
      <c r="C72" t="str">
        <f>pv_only!C72</f>
        <v>xcel</v>
      </c>
      <c r="D72">
        <f>pv_only!D72</f>
        <v>442412</v>
      </c>
      <c r="E72">
        <f>pv_only!E72</f>
        <v>44.85</v>
      </c>
      <c r="F72">
        <f>pv_only!F72</f>
        <v>-93.03</v>
      </c>
      <c r="G72">
        <f>pv_only!G72</f>
        <v>2023</v>
      </c>
      <c r="H72" t="str">
        <f>pv_only!H72</f>
        <v>tmy</v>
      </c>
      <c r="I72">
        <v>1787.87690314006</v>
      </c>
      <c r="J72">
        <v>1698.889068</v>
      </c>
      <c r="K72">
        <f t="shared" si="81"/>
        <v>-88.987835140060042</v>
      </c>
      <c r="N72">
        <v>8445.3204160173009</v>
      </c>
    </row>
    <row r="73" spans="1:16" x14ac:dyDescent="0.3">
      <c r="A73" t="str">
        <f>pv_only!A73</f>
        <v>minnesota</v>
      </c>
      <c r="B73" t="str">
        <f>pv_only!B73</f>
        <v>MN</v>
      </c>
      <c r="C73" t="str">
        <f>pv_only!C73</f>
        <v>xcel</v>
      </c>
      <c r="D73">
        <f>pv_only!D73</f>
        <v>442412</v>
      </c>
      <c r="E73">
        <f>pv_only!E73</f>
        <v>44.85</v>
      </c>
      <c r="F73">
        <f>pv_only!F73</f>
        <v>-93.03</v>
      </c>
      <c r="G73">
        <f>pv_only!G73</f>
        <v>2023</v>
      </c>
      <c r="H73" t="str">
        <f>pv_only!H73</f>
        <v>amy</v>
      </c>
      <c r="I73">
        <v>1793.29382980128</v>
      </c>
      <c r="J73">
        <v>1705.7552020000001</v>
      </c>
      <c r="K73">
        <f t="shared" si="81"/>
        <v>-87.538627801279972</v>
      </c>
      <c r="L73">
        <f t="shared" ref="L73" si="91">(I73-I72)/I72</f>
        <v>3.0298096315838343E-3</v>
      </c>
      <c r="M73">
        <f t="shared" ref="M73" si="92">(J73-J72)/J72</f>
        <v>4.041543458798748E-3</v>
      </c>
      <c r="N73">
        <v>8455.4755240744907</v>
      </c>
      <c r="P73">
        <f t="shared" ref="P73" si="93">(N73-N72)/N72</f>
        <v>1.2024538510024792E-3</v>
      </c>
    </row>
    <row r="74" spans="1:16" x14ac:dyDescent="0.3">
      <c r="A74" t="str">
        <f>pv_only!A74</f>
        <v>newyork</v>
      </c>
      <c r="B74" t="str">
        <f>pv_only!B74</f>
        <v>NY</v>
      </c>
      <c r="C74" t="str">
        <f>pv_only!C74</f>
        <v>coned</v>
      </c>
      <c r="D74">
        <f>pv_only!D74</f>
        <v>404322</v>
      </c>
      <c r="E74">
        <f>pv_only!E74</f>
        <v>40.68</v>
      </c>
      <c r="F74">
        <f>pv_only!F74</f>
        <v>-74.17</v>
      </c>
      <c r="G74">
        <f>pv_only!G74</f>
        <v>2018</v>
      </c>
      <c r="H74" t="str">
        <f>pv_only!H74</f>
        <v>tmy</v>
      </c>
      <c r="I74">
        <v>2850.2866485793202</v>
      </c>
      <c r="J74">
        <v>2964.2579089999999</v>
      </c>
      <c r="K74">
        <f t="shared" si="81"/>
        <v>113.97126042067976</v>
      </c>
      <c r="N74">
        <v>8355.7669406971199</v>
      </c>
    </row>
    <row r="75" spans="1:16" x14ac:dyDescent="0.3">
      <c r="A75" t="str">
        <f>pv_only!A75</f>
        <v>newyork</v>
      </c>
      <c r="B75" t="str">
        <f>pv_only!B75</f>
        <v>NY</v>
      </c>
      <c r="C75" t="str">
        <f>pv_only!C75</f>
        <v>coned</v>
      </c>
      <c r="D75">
        <f>pv_only!D75</f>
        <v>404322</v>
      </c>
      <c r="E75">
        <f>pv_only!E75</f>
        <v>40.68</v>
      </c>
      <c r="F75">
        <f>pv_only!F75</f>
        <v>-74.17</v>
      </c>
      <c r="G75">
        <f>pv_only!G75</f>
        <v>2018</v>
      </c>
      <c r="H75" t="str">
        <f>pv_only!H75</f>
        <v>amy</v>
      </c>
      <c r="I75">
        <v>2571.4179336874899</v>
      </c>
      <c r="J75">
        <v>2667.7979740000001</v>
      </c>
      <c r="K75">
        <f t="shared" si="81"/>
        <v>96.380040312510118</v>
      </c>
      <c r="L75">
        <f t="shared" ref="L75" si="94">(I75-I74)/I74</f>
        <v>-9.7838831413965988E-2</v>
      </c>
      <c r="M75">
        <f t="shared" ref="M75" si="95">(J75-J74)/J74</f>
        <v>-0.1000115185996118</v>
      </c>
      <c r="N75">
        <v>7487.3183723121001</v>
      </c>
      <c r="P75">
        <f t="shared" ref="P75" si="96">(N75-N74)/N74</f>
        <v>-0.10393403436795298</v>
      </c>
    </row>
    <row r="76" spans="1:16" x14ac:dyDescent="0.3">
      <c r="A76" t="str">
        <f>pv_only!A76</f>
        <v>newyork</v>
      </c>
      <c r="B76" t="str">
        <f>pv_only!B76</f>
        <v>NY</v>
      </c>
      <c r="C76" t="str">
        <f>pv_only!C76</f>
        <v>coned</v>
      </c>
      <c r="D76">
        <f>pv_only!D76</f>
        <v>404322</v>
      </c>
      <c r="E76">
        <f>pv_only!E76</f>
        <v>40.68</v>
      </c>
      <c r="F76">
        <f>pv_only!F76</f>
        <v>-74.17</v>
      </c>
      <c r="G76">
        <f>pv_only!G76</f>
        <v>2019</v>
      </c>
      <c r="H76" t="str">
        <f>pv_only!H76</f>
        <v>tmy</v>
      </c>
      <c r="I76">
        <v>2822.3138151237599</v>
      </c>
      <c r="J76">
        <v>2921.8567579999999</v>
      </c>
      <c r="K76">
        <f t="shared" si="81"/>
        <v>99.542942876239977</v>
      </c>
      <c r="N76">
        <v>8355.7669406971199</v>
      </c>
    </row>
    <row r="77" spans="1:16" x14ac:dyDescent="0.3">
      <c r="A77" t="str">
        <f>pv_only!A77</f>
        <v>newyork</v>
      </c>
      <c r="B77" t="str">
        <f>pv_only!B77</f>
        <v>NY</v>
      </c>
      <c r="C77" t="str">
        <f>pv_only!C77</f>
        <v>coned</v>
      </c>
      <c r="D77">
        <f>pv_only!D77</f>
        <v>404322</v>
      </c>
      <c r="E77">
        <f>pv_only!E77</f>
        <v>40.68</v>
      </c>
      <c r="F77">
        <f>pv_only!F77</f>
        <v>-74.17</v>
      </c>
      <c r="G77">
        <f>pv_only!G77</f>
        <v>2019</v>
      </c>
      <c r="H77" t="str">
        <f>pv_only!H77</f>
        <v>amy</v>
      </c>
      <c r="I77">
        <v>2718.9019611798399</v>
      </c>
      <c r="J77">
        <v>2820.115765</v>
      </c>
      <c r="K77">
        <f t="shared" si="81"/>
        <v>101.21380382016014</v>
      </c>
      <c r="L77">
        <f t="shared" ref="L77" si="97">(I77-I76)/I76</f>
        <v>-3.6640806344699621E-2</v>
      </c>
      <c r="M77">
        <f t="shared" ref="M77" si="98">(J77-J76)/J76</f>
        <v>-3.4820664196297299E-2</v>
      </c>
      <c r="N77">
        <v>8037.8656082992802</v>
      </c>
      <c r="P77">
        <f t="shared" ref="P77" si="99">(N77-N76)/N76</f>
        <v>-3.8045739505907915E-2</v>
      </c>
    </row>
    <row r="78" spans="1:16" x14ac:dyDescent="0.3">
      <c r="A78" t="str">
        <f>pv_only!A78</f>
        <v>newyork</v>
      </c>
      <c r="B78" t="str">
        <f>pv_only!B78</f>
        <v>NY</v>
      </c>
      <c r="C78" t="str">
        <f>pv_only!C78</f>
        <v>coned</v>
      </c>
      <c r="D78">
        <f>pv_only!D78</f>
        <v>404322</v>
      </c>
      <c r="E78">
        <f>pv_only!E78</f>
        <v>40.68</v>
      </c>
      <c r="F78">
        <f>pv_only!F78</f>
        <v>-74.17</v>
      </c>
      <c r="G78">
        <f>pv_only!G78</f>
        <v>2020</v>
      </c>
      <c r="H78" t="str">
        <f>pv_only!H78</f>
        <v>tmy</v>
      </c>
      <c r="I78">
        <v>2827.9292547168102</v>
      </c>
      <c r="J78">
        <v>2903.305785</v>
      </c>
      <c r="K78">
        <f t="shared" si="81"/>
        <v>75.376530283189823</v>
      </c>
      <c r="N78">
        <v>8355.7669406971199</v>
      </c>
    </row>
    <row r="79" spans="1:16" x14ac:dyDescent="0.3">
      <c r="A79" t="str">
        <f>pv_only!A79</f>
        <v>newyork</v>
      </c>
      <c r="B79" t="str">
        <f>pv_only!B79</f>
        <v>NY</v>
      </c>
      <c r="C79" t="str">
        <f>pv_only!C79</f>
        <v>coned</v>
      </c>
      <c r="D79">
        <f>pv_only!D79</f>
        <v>404322</v>
      </c>
      <c r="E79">
        <f>pv_only!E79</f>
        <v>40.68</v>
      </c>
      <c r="F79">
        <f>pv_only!F79</f>
        <v>-74.17</v>
      </c>
      <c r="G79">
        <f>pv_only!G79</f>
        <v>2020</v>
      </c>
      <c r="H79" t="str">
        <f>pv_only!H79</f>
        <v>amy</v>
      </c>
      <c r="I79">
        <v>2736.3098340758402</v>
      </c>
      <c r="J79">
        <v>2845.0364800000002</v>
      </c>
      <c r="K79">
        <f t="shared" si="81"/>
        <v>108.72664592416004</v>
      </c>
      <c r="L79">
        <f t="shared" ref="L79" si="100">(I79-I78)/I78</f>
        <v>-3.2398059636093983E-2</v>
      </c>
      <c r="M79">
        <f t="shared" ref="M79" si="101">(J79-J78)/J78</f>
        <v>-2.0069985497583338E-2</v>
      </c>
      <c r="N79">
        <v>8032.2993650892304</v>
      </c>
      <c r="P79">
        <f t="shared" ref="P79" si="102">(N79-N78)/N78</f>
        <v>-3.8711895377601654E-2</v>
      </c>
    </row>
    <row r="80" spans="1:16" x14ac:dyDescent="0.3">
      <c r="A80" t="str">
        <f>pv_only!A80</f>
        <v>newyork</v>
      </c>
      <c r="B80" t="str">
        <f>pv_only!B80</f>
        <v>NY</v>
      </c>
      <c r="C80" t="str">
        <f>pv_only!C80</f>
        <v>coned</v>
      </c>
      <c r="D80">
        <f>pv_only!D80</f>
        <v>404322</v>
      </c>
      <c r="E80">
        <f>pv_only!E80</f>
        <v>40.68</v>
      </c>
      <c r="F80">
        <f>pv_only!F80</f>
        <v>-74.17</v>
      </c>
      <c r="G80">
        <f>pv_only!G80</f>
        <v>2021</v>
      </c>
      <c r="H80" t="str">
        <f>pv_only!H80</f>
        <v>tmy</v>
      </c>
      <c r="I80">
        <v>2815.92508745028</v>
      </c>
      <c r="J80">
        <v>2901.8490120000001</v>
      </c>
      <c r="K80">
        <f t="shared" si="81"/>
        <v>85.923924549720141</v>
      </c>
      <c r="N80">
        <v>8355.7669406971199</v>
      </c>
    </row>
    <row r="81" spans="1:16" x14ac:dyDescent="0.3">
      <c r="A81" t="str">
        <f>pv_only!A81</f>
        <v>newyork</v>
      </c>
      <c r="B81" t="str">
        <f>pv_only!B81</f>
        <v>NY</v>
      </c>
      <c r="C81" t="str">
        <f>pv_only!C81</f>
        <v>coned</v>
      </c>
      <c r="D81">
        <f>pv_only!D81</f>
        <v>404322</v>
      </c>
      <c r="E81">
        <f>pv_only!E81</f>
        <v>40.68</v>
      </c>
      <c r="F81">
        <f>pv_only!F81</f>
        <v>-74.17</v>
      </c>
      <c r="G81">
        <f>pv_only!G81</f>
        <v>2021</v>
      </c>
      <c r="H81" t="str">
        <f>pv_only!H81</f>
        <v>amy</v>
      </c>
      <c r="I81">
        <v>2773.8667592438401</v>
      </c>
      <c r="J81">
        <v>2871.891995</v>
      </c>
      <c r="K81">
        <f t="shared" si="81"/>
        <v>98.025235756159873</v>
      </c>
      <c r="L81">
        <f t="shared" ref="L81" si="103">(I81-I80)/I80</f>
        <v>-1.4935883200118164E-2</v>
      </c>
      <c r="M81">
        <f t="shared" ref="M81" si="104">(J81-J80)/J80</f>
        <v>-1.0323423746762527E-2</v>
      </c>
      <c r="N81">
        <v>8141.2873496365501</v>
      </c>
      <c r="P81">
        <f t="shared" ref="P81" si="105">(N81-N80)/N80</f>
        <v>-2.5668450614142652E-2</v>
      </c>
    </row>
    <row r="82" spans="1:16" x14ac:dyDescent="0.3">
      <c r="A82" t="str">
        <f>pv_only!A82</f>
        <v>newyork</v>
      </c>
      <c r="B82" t="str">
        <f>pv_only!B82</f>
        <v>NY</v>
      </c>
      <c r="C82" t="str">
        <f>pv_only!C82</f>
        <v>coned</v>
      </c>
      <c r="D82">
        <f>pv_only!D82</f>
        <v>404322</v>
      </c>
      <c r="E82">
        <f>pv_only!E82</f>
        <v>40.68</v>
      </c>
      <c r="F82">
        <f>pv_only!F82</f>
        <v>-74.17</v>
      </c>
      <c r="G82">
        <f>pv_only!G82</f>
        <v>2022</v>
      </c>
      <c r="H82" t="str">
        <f>pv_only!H82</f>
        <v>tmy</v>
      </c>
      <c r="I82">
        <v>2842.4672013044501</v>
      </c>
      <c r="J82">
        <v>2941.9835680000001</v>
      </c>
      <c r="K82">
        <f t="shared" si="81"/>
        <v>99.516366695550005</v>
      </c>
      <c r="N82">
        <v>8355.7669406971199</v>
      </c>
    </row>
    <row r="83" spans="1:16" x14ac:dyDescent="0.3">
      <c r="A83" t="str">
        <f>pv_only!A83</f>
        <v>newyork</v>
      </c>
      <c r="B83" t="str">
        <f>pv_only!B83</f>
        <v>NY</v>
      </c>
      <c r="C83" t="str">
        <f>pv_only!C83</f>
        <v>coned</v>
      </c>
      <c r="D83">
        <f>pv_only!D83</f>
        <v>404322</v>
      </c>
      <c r="E83">
        <f>pv_only!E83</f>
        <v>40.68</v>
      </c>
      <c r="F83">
        <f>pv_only!F83</f>
        <v>-74.17</v>
      </c>
      <c r="G83">
        <f>pv_only!G83</f>
        <v>2022</v>
      </c>
      <c r="H83" t="str">
        <f>pv_only!H83</f>
        <v>amy</v>
      </c>
      <c r="I83">
        <v>2939.5157987090802</v>
      </c>
      <c r="J83">
        <v>3042.2599270000001</v>
      </c>
      <c r="K83">
        <f t="shared" si="81"/>
        <v>102.74412829091989</v>
      </c>
      <c r="L83">
        <f t="shared" ref="L83" si="106">(I83-I82)/I82</f>
        <v>3.4142380731813915E-2</v>
      </c>
      <c r="M83">
        <f t="shared" ref="M83" si="107">(J83-J82)/J82</f>
        <v>3.4084608796156254E-2</v>
      </c>
      <c r="N83">
        <v>8605.6907093759401</v>
      </c>
      <c r="P83">
        <f t="shared" ref="P83" si="108">(N83-N82)/N82</f>
        <v>2.9910332642423969E-2</v>
      </c>
    </row>
    <row r="84" spans="1:16" x14ac:dyDescent="0.3">
      <c r="A84" t="str">
        <f>pv_only!A84</f>
        <v>newyork</v>
      </c>
      <c r="B84" t="str">
        <f>pv_only!B84</f>
        <v>NY</v>
      </c>
      <c r="C84" t="str">
        <f>pv_only!C84</f>
        <v>coned</v>
      </c>
      <c r="D84">
        <f>pv_only!D84</f>
        <v>404322</v>
      </c>
      <c r="E84">
        <f>pv_only!E84</f>
        <v>40.68</v>
      </c>
      <c r="F84">
        <f>pv_only!F84</f>
        <v>-74.17</v>
      </c>
      <c r="G84">
        <f>pv_only!G84</f>
        <v>2023</v>
      </c>
      <c r="H84" t="str">
        <f>pv_only!H84</f>
        <v>tmy</v>
      </c>
      <c r="I84">
        <v>2825.6658295795401</v>
      </c>
      <c r="J84">
        <v>2921.5766819999999</v>
      </c>
      <c r="K84">
        <f t="shared" si="81"/>
        <v>95.910852420459833</v>
      </c>
      <c r="N84">
        <v>8355.7669406971199</v>
      </c>
    </row>
    <row r="85" spans="1:16" x14ac:dyDescent="0.3">
      <c r="A85" t="str">
        <f>pv_only!A85</f>
        <v>newyork</v>
      </c>
      <c r="B85" t="str">
        <f>pv_only!B85</f>
        <v>NY</v>
      </c>
      <c r="C85" t="str">
        <f>pv_only!C85</f>
        <v>coned</v>
      </c>
      <c r="D85">
        <f>pv_only!D85</f>
        <v>404322</v>
      </c>
      <c r="E85">
        <f>pv_only!E85</f>
        <v>40.68</v>
      </c>
      <c r="F85">
        <f>pv_only!F85</f>
        <v>-74.17</v>
      </c>
      <c r="G85">
        <f>pv_only!G85</f>
        <v>2023</v>
      </c>
      <c r="H85" t="str">
        <f>pv_only!H85</f>
        <v>amy</v>
      </c>
      <c r="I85">
        <v>2784.5967191425002</v>
      </c>
      <c r="J85">
        <v>2889.9280039999999</v>
      </c>
      <c r="K85">
        <f t="shared" si="81"/>
        <v>105.33128485749967</v>
      </c>
      <c r="L85">
        <f t="shared" ref="L85" si="109">(I85-I84)/I84</f>
        <v>-1.4534312588247899E-2</v>
      </c>
      <c r="M85">
        <f t="shared" ref="M85" si="110">(J85-J84)/J84</f>
        <v>-1.0832739114803772E-2</v>
      </c>
      <c r="N85">
        <v>8181.5232049546303</v>
      </c>
      <c r="P85">
        <f t="shared" ref="P85" si="111">(N85-N84)/N84</f>
        <v>-2.0853111028483584E-2</v>
      </c>
    </row>
    <row r="86" spans="1:16" x14ac:dyDescent="0.3">
      <c r="A86" t="str">
        <f>pv_only!A86</f>
        <v>ohio</v>
      </c>
      <c r="B86" t="str">
        <f>pv_only!B86</f>
        <v>OH</v>
      </c>
      <c r="C86" t="str">
        <f>pv_only!C86</f>
        <v>aep</v>
      </c>
      <c r="D86">
        <f>pv_only!D86</f>
        <v>448494</v>
      </c>
      <c r="E86">
        <f>pv_only!E86</f>
        <v>39.99</v>
      </c>
      <c r="F86">
        <f>pv_only!F86</f>
        <v>-82.88</v>
      </c>
      <c r="G86">
        <f>pv_only!G86</f>
        <v>2018</v>
      </c>
      <c r="H86" t="str">
        <f>pv_only!H86</f>
        <v>tmy</v>
      </c>
      <c r="I86">
        <v>1291.74231539332</v>
      </c>
      <c r="J86">
        <v>1292.249026</v>
      </c>
      <c r="K86">
        <f t="shared" si="81"/>
        <v>0.50671060667991696</v>
      </c>
      <c r="N86">
        <v>8065.73173098598</v>
      </c>
    </row>
    <row r="87" spans="1:16" x14ac:dyDescent="0.3">
      <c r="A87" t="str">
        <f>pv_only!A87</f>
        <v>ohio</v>
      </c>
      <c r="B87" t="str">
        <f>pv_only!B87</f>
        <v>OH</v>
      </c>
      <c r="C87" t="str">
        <f>pv_only!C87</f>
        <v>aep</v>
      </c>
      <c r="D87">
        <f>pv_only!D87</f>
        <v>448494</v>
      </c>
      <c r="E87">
        <f>pv_only!E87</f>
        <v>39.99</v>
      </c>
      <c r="F87">
        <f>pv_only!F87</f>
        <v>-82.88</v>
      </c>
      <c r="G87">
        <f>pv_only!G87</f>
        <v>2018</v>
      </c>
      <c r="H87" t="str">
        <f>pv_only!H87</f>
        <v>amy</v>
      </c>
      <c r="I87">
        <v>1239.4263699563501</v>
      </c>
      <c r="J87">
        <v>1240.513876</v>
      </c>
      <c r="K87">
        <f t="shared" si="81"/>
        <v>1.0875060436499098</v>
      </c>
      <c r="L87">
        <f t="shared" ref="L87" si="112">(I87-I86)/I86</f>
        <v>-4.0500295464146338E-2</v>
      </c>
      <c r="M87">
        <f t="shared" ref="M87" si="113">(J87-J86)/J86</f>
        <v>-4.0034969235101574E-2</v>
      </c>
      <c r="N87">
        <v>7731.7197729364398</v>
      </c>
      <c r="P87">
        <f t="shared" ref="P87" si="114">(N87-N86)/N86</f>
        <v>-4.1411240689592038E-2</v>
      </c>
    </row>
    <row r="88" spans="1:16" x14ac:dyDescent="0.3">
      <c r="A88" t="str">
        <f>pv_only!A88</f>
        <v>ohio</v>
      </c>
      <c r="B88" t="str">
        <f>pv_only!B88</f>
        <v>OH</v>
      </c>
      <c r="C88" t="str">
        <f>pv_only!C88</f>
        <v>aep</v>
      </c>
      <c r="D88">
        <f>pv_only!D88</f>
        <v>448494</v>
      </c>
      <c r="E88">
        <f>pv_only!E88</f>
        <v>39.99</v>
      </c>
      <c r="F88">
        <f>pv_only!F88</f>
        <v>-82.88</v>
      </c>
      <c r="G88">
        <f>pv_only!G88</f>
        <v>2019</v>
      </c>
      <c r="H88" t="str">
        <f>pv_only!H88</f>
        <v>tmy</v>
      </c>
      <c r="I88">
        <v>1285.89211593505</v>
      </c>
      <c r="J88">
        <v>1285.622449</v>
      </c>
      <c r="K88">
        <f t="shared" si="81"/>
        <v>-0.26966693505005424</v>
      </c>
      <c r="N88">
        <v>8065.73173098598</v>
      </c>
    </row>
    <row r="89" spans="1:16" x14ac:dyDescent="0.3">
      <c r="A89" t="str">
        <f>pv_only!A89</f>
        <v>ohio</v>
      </c>
      <c r="B89" t="str">
        <f>pv_only!B89</f>
        <v>OH</v>
      </c>
      <c r="C89" t="str">
        <f>pv_only!C89</f>
        <v>aep</v>
      </c>
      <c r="D89">
        <f>pv_only!D89</f>
        <v>448494</v>
      </c>
      <c r="E89">
        <f>pv_only!E89</f>
        <v>39.99</v>
      </c>
      <c r="F89">
        <f>pv_only!F89</f>
        <v>-82.88</v>
      </c>
      <c r="G89">
        <f>pv_only!G89</f>
        <v>2019</v>
      </c>
      <c r="H89" t="str">
        <f>pv_only!H89</f>
        <v>amy</v>
      </c>
      <c r="I89">
        <v>1287.9673104180699</v>
      </c>
      <c r="J89">
        <v>1288.3549579999999</v>
      </c>
      <c r="K89">
        <f t="shared" si="81"/>
        <v>0.38764758192996851</v>
      </c>
      <c r="L89">
        <f t="shared" ref="L89" si="115">(I89-I88)/I88</f>
        <v>1.6138169425752439E-3</v>
      </c>
      <c r="M89">
        <f t="shared" ref="M89" si="116">(J89-J88)/J88</f>
        <v>2.1254365946436087E-3</v>
      </c>
      <c r="N89">
        <v>8031.4961671601504</v>
      </c>
      <c r="P89">
        <f t="shared" ref="P89" si="117">(N89-N88)/N88</f>
        <v>-4.2445701106456832E-3</v>
      </c>
    </row>
    <row r="90" spans="1:16" x14ac:dyDescent="0.3">
      <c r="A90" t="str">
        <f>pv_only!A90</f>
        <v>ohio</v>
      </c>
      <c r="B90" t="str">
        <f>pv_only!B90</f>
        <v>OH</v>
      </c>
      <c r="C90" t="str">
        <f>pv_only!C90</f>
        <v>aep</v>
      </c>
      <c r="D90">
        <f>pv_only!D90</f>
        <v>448494</v>
      </c>
      <c r="E90">
        <f>pv_only!E90</f>
        <v>39.99</v>
      </c>
      <c r="F90">
        <f>pv_only!F90</f>
        <v>-82.88</v>
      </c>
      <c r="G90">
        <f>pv_only!G90</f>
        <v>2020</v>
      </c>
      <c r="H90" t="str">
        <f>pv_only!H90</f>
        <v>tmy</v>
      </c>
      <c r="I90">
        <v>1284.7539950888299</v>
      </c>
      <c r="J90">
        <v>1283.2652029999999</v>
      </c>
      <c r="K90">
        <f t="shared" si="81"/>
        <v>-1.4887920888299959</v>
      </c>
      <c r="N90">
        <v>8065.73173098598</v>
      </c>
    </row>
    <row r="91" spans="1:16" x14ac:dyDescent="0.3">
      <c r="A91" t="str">
        <f>pv_only!A91</f>
        <v>ohio</v>
      </c>
      <c r="B91" t="str">
        <f>pv_only!B91</f>
        <v>OH</v>
      </c>
      <c r="C91" t="str">
        <f>pv_only!C91</f>
        <v>aep</v>
      </c>
      <c r="D91">
        <f>pv_only!D91</f>
        <v>448494</v>
      </c>
      <c r="E91">
        <f>pv_only!E91</f>
        <v>39.99</v>
      </c>
      <c r="F91">
        <f>pv_only!F91</f>
        <v>-82.88</v>
      </c>
      <c r="G91">
        <f>pv_only!G91</f>
        <v>2020</v>
      </c>
      <c r="H91" t="str">
        <f>pv_only!H91</f>
        <v>amy</v>
      </c>
      <c r="I91">
        <v>1233.81017644795</v>
      </c>
      <c r="J91">
        <v>1232.7841069999999</v>
      </c>
      <c r="K91">
        <f t="shared" si="81"/>
        <v>-1.0260694479500216</v>
      </c>
      <c r="L91">
        <f t="shared" ref="L91" si="118">(I91-I90)/I90</f>
        <v>-3.965258628159208E-2</v>
      </c>
      <c r="M91">
        <f t="shared" ref="M91" si="119">(J91-J90)/J90</f>
        <v>-3.9338007359652517E-2</v>
      </c>
      <c r="N91">
        <v>7701.0047790318904</v>
      </c>
      <c r="P91">
        <f t="shared" ref="P91" si="120">(N91-N90)/N90</f>
        <v>-4.5219325923390744E-2</v>
      </c>
    </row>
    <row r="92" spans="1:16" x14ac:dyDescent="0.3">
      <c r="A92" t="str">
        <f>pv_only!A92</f>
        <v>ohio</v>
      </c>
      <c r="B92" t="str">
        <f>pv_only!B92</f>
        <v>OH</v>
      </c>
      <c r="C92" t="str">
        <f>pv_only!C92</f>
        <v>aep</v>
      </c>
      <c r="D92">
        <f>pv_only!D92</f>
        <v>448494</v>
      </c>
      <c r="E92">
        <f>pv_only!E92</f>
        <v>39.99</v>
      </c>
      <c r="F92">
        <f>pv_only!F92</f>
        <v>-82.88</v>
      </c>
      <c r="G92">
        <f>pv_only!G92</f>
        <v>2021</v>
      </c>
      <c r="H92" t="str">
        <f>pv_only!H92</f>
        <v>tmy</v>
      </c>
      <c r="I92">
        <v>1284.84512795055</v>
      </c>
      <c r="J92">
        <v>1284.196774</v>
      </c>
      <c r="K92">
        <f t="shared" si="81"/>
        <v>-0.64835395055001754</v>
      </c>
      <c r="N92">
        <v>8065.73173098598</v>
      </c>
    </row>
    <row r="93" spans="1:16" x14ac:dyDescent="0.3">
      <c r="A93" t="str">
        <f>pv_only!A93</f>
        <v>ohio</v>
      </c>
      <c r="B93" t="str">
        <f>pv_only!B93</f>
        <v>OH</v>
      </c>
      <c r="C93" t="str">
        <f>pv_only!C93</f>
        <v>aep</v>
      </c>
      <c r="D93">
        <f>pv_only!D93</f>
        <v>448494</v>
      </c>
      <c r="E93">
        <f>pv_only!E93</f>
        <v>39.99</v>
      </c>
      <c r="F93">
        <f>pv_only!F93</f>
        <v>-82.88</v>
      </c>
      <c r="G93">
        <f>pv_only!G93</f>
        <v>2021</v>
      </c>
      <c r="H93" t="str">
        <f>pv_only!H93</f>
        <v>amy</v>
      </c>
      <c r="I93">
        <v>1321.34291601155</v>
      </c>
      <c r="J93">
        <v>1322.658504</v>
      </c>
      <c r="K93">
        <f t="shared" si="81"/>
        <v>1.3155879884500337</v>
      </c>
      <c r="L93">
        <f t="shared" ref="L93" si="121">(I93-I92)/I92</f>
        <v>2.8406371528385974E-2</v>
      </c>
      <c r="M93">
        <f t="shared" ref="M93" si="122">(J93-J92)/J92</f>
        <v>2.9950028514866826E-2</v>
      </c>
      <c r="N93">
        <v>8351.8812936241393</v>
      </c>
      <c r="P93">
        <f t="shared" ref="P93" si="123">(N93-N92)/N92</f>
        <v>3.5477198124364034E-2</v>
      </c>
    </row>
    <row r="94" spans="1:16" x14ac:dyDescent="0.3">
      <c r="A94" t="str">
        <f>pv_only!A94</f>
        <v>ohio</v>
      </c>
      <c r="B94" t="str">
        <f>pv_only!B94</f>
        <v>OH</v>
      </c>
      <c r="C94" t="str">
        <f>pv_only!C94</f>
        <v>aep</v>
      </c>
      <c r="D94">
        <f>pv_only!D94</f>
        <v>448494</v>
      </c>
      <c r="E94">
        <f>pv_only!E94</f>
        <v>39.99</v>
      </c>
      <c r="F94">
        <f>pv_only!F94</f>
        <v>-82.88</v>
      </c>
      <c r="G94">
        <f>pv_only!G94</f>
        <v>2022</v>
      </c>
      <c r="H94" t="str">
        <f>pv_only!H94</f>
        <v>tmy</v>
      </c>
      <c r="I94">
        <v>1288.5414844981799</v>
      </c>
      <c r="J94">
        <v>1288.2418379999999</v>
      </c>
      <c r="K94">
        <f t="shared" si="81"/>
        <v>-0.29964649817998179</v>
      </c>
      <c r="N94">
        <v>8065.73173098598</v>
      </c>
    </row>
    <row r="95" spans="1:16" x14ac:dyDescent="0.3">
      <c r="A95" t="str">
        <f>pv_only!A95</f>
        <v>ohio</v>
      </c>
      <c r="B95" t="str">
        <f>pv_only!B95</f>
        <v>OH</v>
      </c>
      <c r="C95" t="str">
        <f>pv_only!C95</f>
        <v>aep</v>
      </c>
      <c r="D95">
        <f>pv_only!D95</f>
        <v>448494</v>
      </c>
      <c r="E95">
        <f>pv_only!E95</f>
        <v>39.99</v>
      </c>
      <c r="F95">
        <f>pv_only!F95</f>
        <v>-82.88</v>
      </c>
      <c r="G95">
        <f>pv_only!G95</f>
        <v>2022</v>
      </c>
      <c r="H95" t="str">
        <f>pv_only!H95</f>
        <v>amy</v>
      </c>
      <c r="I95">
        <v>1330.6201341962601</v>
      </c>
      <c r="J95">
        <v>1331.0527500000001</v>
      </c>
      <c r="K95">
        <f t="shared" si="81"/>
        <v>0.43261580373996367</v>
      </c>
      <c r="L95">
        <f t="shared" ref="L95" si="124">(I95-I94)/I94</f>
        <v>3.2656030251496056E-2</v>
      </c>
      <c r="M95">
        <f t="shared" ref="M95" si="125">(J95-J94)/J94</f>
        <v>3.3232045984831732E-2</v>
      </c>
      <c r="N95">
        <v>8335.1619279701208</v>
      </c>
      <c r="P95">
        <f t="shared" ref="P95" si="126">(N95-N94)/N94</f>
        <v>3.340430923943026E-2</v>
      </c>
    </row>
    <row r="96" spans="1:16" x14ac:dyDescent="0.3">
      <c r="A96" t="str">
        <f>pv_only!A96</f>
        <v>ohio</v>
      </c>
      <c r="B96" t="str">
        <f>pv_only!B96</f>
        <v>OH</v>
      </c>
      <c r="C96" t="str">
        <f>pv_only!C96</f>
        <v>aep</v>
      </c>
      <c r="D96">
        <f>pv_only!D96</f>
        <v>448494</v>
      </c>
      <c r="E96">
        <f>pv_only!E96</f>
        <v>39.99</v>
      </c>
      <c r="F96">
        <f>pv_only!F96</f>
        <v>-82.88</v>
      </c>
      <c r="G96">
        <f>pv_only!G96</f>
        <v>2023</v>
      </c>
      <c r="H96" t="str">
        <f>pv_only!H96</f>
        <v>tmy</v>
      </c>
      <c r="I96">
        <v>1285.22650072689</v>
      </c>
      <c r="J96">
        <v>1285.2368240000001</v>
      </c>
      <c r="K96">
        <f t="shared" si="81"/>
        <v>1.0323273110088849E-2</v>
      </c>
      <c r="N96">
        <v>8065.73173098598</v>
      </c>
    </row>
    <row r="97" spans="1:16" x14ac:dyDescent="0.3">
      <c r="A97" t="str">
        <f>pv_only!A97</f>
        <v>ohio</v>
      </c>
      <c r="B97" t="str">
        <f>pv_only!B97</f>
        <v>OH</v>
      </c>
      <c r="C97" t="str">
        <f>pv_only!C97</f>
        <v>aep</v>
      </c>
      <c r="D97">
        <f>pv_only!D97</f>
        <v>448494</v>
      </c>
      <c r="E97">
        <f>pv_only!E97</f>
        <v>39.99</v>
      </c>
      <c r="F97">
        <f>pv_only!F97</f>
        <v>-82.88</v>
      </c>
      <c r="G97">
        <f>pv_only!G97</f>
        <v>2023</v>
      </c>
      <c r="H97" t="str">
        <f>pv_only!H97</f>
        <v>amy</v>
      </c>
      <c r="I97">
        <v>1308.2320959031099</v>
      </c>
      <c r="J97">
        <v>1306.911276</v>
      </c>
      <c r="K97">
        <f t="shared" si="81"/>
        <v>-1.3208199031098502</v>
      </c>
      <c r="L97">
        <f t="shared" ref="L97" si="127">(I97-I96)/I96</f>
        <v>1.79000317556544E-2</v>
      </c>
      <c r="M97">
        <f t="shared" ref="M97" si="128">(J97-J96)/J96</f>
        <v>1.6864169774208067E-2</v>
      </c>
      <c r="N97">
        <v>8222.7113154047292</v>
      </c>
      <c r="P97">
        <f t="shared" ref="P97" si="129">(N97-N96)/N96</f>
        <v>1.9462534789705881E-2</v>
      </c>
    </row>
    <row r="98" spans="1:16" x14ac:dyDescent="0.3">
      <c r="A98" t="str">
        <f>pv_only!A98</f>
        <v>oregon</v>
      </c>
      <c r="B98" t="str">
        <f>pv_only!B98</f>
        <v>OR</v>
      </c>
      <c r="C98" t="str">
        <f>pv_only!C98</f>
        <v>pge</v>
      </c>
      <c r="D98">
        <f>pv_only!D98</f>
        <v>67263</v>
      </c>
      <c r="E98">
        <f>pv_only!E98</f>
        <v>45.59</v>
      </c>
      <c r="F98">
        <f>pv_only!F98</f>
        <v>-122.6</v>
      </c>
      <c r="G98">
        <f>pv_only!G98</f>
        <v>2018</v>
      </c>
      <c r="H98" t="str">
        <f>pv_only!H98</f>
        <v>tmy</v>
      </c>
      <c r="I98">
        <v>989.88223959826905</v>
      </c>
      <c r="J98">
        <v>1408.885284</v>
      </c>
      <c r="K98">
        <f t="shared" si="81"/>
        <v>419.0030444017309</v>
      </c>
      <c r="N98">
        <v>7536.4092728214</v>
      </c>
    </row>
    <row r="99" spans="1:16" x14ac:dyDescent="0.3">
      <c r="A99" t="str">
        <f>pv_only!A99</f>
        <v>oregon</v>
      </c>
      <c r="B99" t="str">
        <f>pv_only!B99</f>
        <v>OR</v>
      </c>
      <c r="C99" t="str">
        <f>pv_only!C99</f>
        <v>pge</v>
      </c>
      <c r="D99">
        <f>pv_only!D99</f>
        <v>67263</v>
      </c>
      <c r="E99">
        <f>pv_only!E99</f>
        <v>45.59</v>
      </c>
      <c r="F99">
        <f>pv_only!F99</f>
        <v>-122.6</v>
      </c>
      <c r="G99">
        <f>pv_only!G99</f>
        <v>2018</v>
      </c>
      <c r="H99" t="str">
        <f>pv_only!H99</f>
        <v>amy</v>
      </c>
      <c r="I99">
        <v>967.29298030415703</v>
      </c>
      <c r="J99">
        <v>1415.759274</v>
      </c>
      <c r="K99">
        <f t="shared" si="81"/>
        <v>448.46629369584298</v>
      </c>
      <c r="L99">
        <f t="shared" ref="L99" si="130">(I99-I98)/I98</f>
        <v>-2.2820148084765703E-2</v>
      </c>
      <c r="M99">
        <f t="shared" ref="M99" si="131">(J99-J98)/J98</f>
        <v>4.8790274680731559E-3</v>
      </c>
      <c r="N99">
        <v>7517.6058858993201</v>
      </c>
      <c r="P99">
        <f t="shared" ref="P99" si="132">(N99-N98)/N98</f>
        <v>-2.4950060753588122E-3</v>
      </c>
    </row>
    <row r="100" spans="1:16" x14ac:dyDescent="0.3">
      <c r="A100" t="str">
        <f>pv_only!A100</f>
        <v>oregon</v>
      </c>
      <c r="B100" t="str">
        <f>pv_only!B100</f>
        <v>OR</v>
      </c>
      <c r="C100" t="str">
        <f>pv_only!C100</f>
        <v>pge</v>
      </c>
      <c r="D100">
        <f>pv_only!D100</f>
        <v>67263</v>
      </c>
      <c r="E100">
        <f>pv_only!E100</f>
        <v>45.59</v>
      </c>
      <c r="F100">
        <f>pv_only!F100</f>
        <v>-122.6</v>
      </c>
      <c r="G100">
        <f>pv_only!G100</f>
        <v>2019</v>
      </c>
      <c r="H100" t="str">
        <f>pv_only!H100</f>
        <v>tmy</v>
      </c>
      <c r="I100">
        <v>958.61335034419801</v>
      </c>
      <c r="J100">
        <v>1361.4239170000001</v>
      </c>
      <c r="K100">
        <f t="shared" si="81"/>
        <v>402.81056665580206</v>
      </c>
      <c r="N100">
        <v>7536.4092728214</v>
      </c>
    </row>
    <row r="101" spans="1:16" x14ac:dyDescent="0.3">
      <c r="A101" t="str">
        <f>pv_only!A101</f>
        <v>oregon</v>
      </c>
      <c r="B101" t="str">
        <f>pv_only!B101</f>
        <v>OR</v>
      </c>
      <c r="C101" t="str">
        <f>pv_only!C101</f>
        <v>pge</v>
      </c>
      <c r="D101">
        <f>pv_only!D101</f>
        <v>67263</v>
      </c>
      <c r="E101">
        <f>pv_only!E101</f>
        <v>45.59</v>
      </c>
      <c r="F101">
        <f>pv_only!F101</f>
        <v>-122.6</v>
      </c>
      <c r="G101">
        <f>pv_only!G101</f>
        <v>2019</v>
      </c>
      <c r="H101" t="str">
        <f>pv_only!H101</f>
        <v>amy</v>
      </c>
      <c r="I101">
        <v>946.696763311533</v>
      </c>
      <c r="J101">
        <v>1386.38024</v>
      </c>
      <c r="K101">
        <f t="shared" si="81"/>
        <v>439.68347668846695</v>
      </c>
      <c r="L101">
        <f t="shared" ref="L101" si="133">(I101-I100)/I100</f>
        <v>-1.2431067258124725E-2</v>
      </c>
      <c r="M101">
        <f t="shared" ref="M101" si="134">(J101-J100)/J100</f>
        <v>1.8331044936387646E-2</v>
      </c>
      <c r="N101">
        <v>7367.7896287339499</v>
      </c>
      <c r="P101">
        <f t="shared" ref="P101" si="135">(N101-N100)/N100</f>
        <v>-2.2374003054152613E-2</v>
      </c>
    </row>
    <row r="102" spans="1:16" x14ac:dyDescent="0.3">
      <c r="A102" t="str">
        <f>pv_only!A102</f>
        <v>oregon</v>
      </c>
      <c r="B102" t="str">
        <f>pv_only!B102</f>
        <v>OR</v>
      </c>
      <c r="C102" t="str">
        <f>pv_only!C102</f>
        <v>pge</v>
      </c>
      <c r="D102">
        <f>pv_only!D102</f>
        <v>67263</v>
      </c>
      <c r="E102">
        <f>pv_only!E102</f>
        <v>45.59</v>
      </c>
      <c r="F102">
        <f>pv_only!F102</f>
        <v>-122.6</v>
      </c>
      <c r="G102">
        <f>pv_only!G102</f>
        <v>2020</v>
      </c>
      <c r="H102" t="str">
        <f>pv_only!H102</f>
        <v>tmy</v>
      </c>
      <c r="I102">
        <v>961.41819132569697</v>
      </c>
      <c r="J102">
        <v>1364.119702</v>
      </c>
      <c r="K102">
        <f t="shared" si="81"/>
        <v>402.70151067430299</v>
      </c>
      <c r="N102">
        <v>7536.4092728214</v>
      </c>
    </row>
    <row r="103" spans="1:16" x14ac:dyDescent="0.3">
      <c r="A103" t="str">
        <f>pv_only!A103</f>
        <v>oregon</v>
      </c>
      <c r="B103" t="str">
        <f>pv_only!B103</f>
        <v>OR</v>
      </c>
      <c r="C103" t="str">
        <f>pv_only!C103</f>
        <v>pge</v>
      </c>
      <c r="D103">
        <f>pv_only!D103</f>
        <v>67263</v>
      </c>
      <c r="E103">
        <f>pv_only!E103</f>
        <v>45.59</v>
      </c>
      <c r="F103">
        <f>pv_only!F103</f>
        <v>-122.6</v>
      </c>
      <c r="G103">
        <f>pv_only!G103</f>
        <v>2020</v>
      </c>
      <c r="H103" t="str">
        <f>pv_only!H103</f>
        <v>amy</v>
      </c>
      <c r="I103">
        <v>948.96772941420204</v>
      </c>
      <c r="J103">
        <v>1384.5514700000001</v>
      </c>
      <c r="K103">
        <f t="shared" si="81"/>
        <v>435.58374058579807</v>
      </c>
      <c r="L103">
        <f t="shared" ref="L103" si="136">(I103-I102)/I102</f>
        <v>-1.295010019971332E-2</v>
      </c>
      <c r="M103">
        <f t="shared" ref="M103" si="137">(J103-J102)/J102</f>
        <v>1.4977987613582718E-2</v>
      </c>
      <c r="N103">
        <v>7490.5853836996503</v>
      </c>
      <c r="P103">
        <f t="shared" ref="P103" si="138">(N103-N102)/N102</f>
        <v>-6.0803344753322672E-3</v>
      </c>
    </row>
    <row r="104" spans="1:16" x14ac:dyDescent="0.3">
      <c r="A104" t="str">
        <f>pv_only!A104</f>
        <v>oregon</v>
      </c>
      <c r="B104" t="str">
        <f>pv_only!B104</f>
        <v>OR</v>
      </c>
      <c r="C104" t="str">
        <f>pv_only!C104</f>
        <v>pge</v>
      </c>
      <c r="D104">
        <f>pv_only!D104</f>
        <v>67263</v>
      </c>
      <c r="E104">
        <f>pv_only!E104</f>
        <v>45.59</v>
      </c>
      <c r="F104">
        <f>pv_only!F104</f>
        <v>-122.6</v>
      </c>
      <c r="G104">
        <f>pv_only!G104</f>
        <v>2021</v>
      </c>
      <c r="H104" t="str">
        <f>pv_only!H104</f>
        <v>tmy</v>
      </c>
      <c r="I104">
        <v>1021.2935082679199</v>
      </c>
      <c r="J104">
        <v>1445.87212</v>
      </c>
      <c r="K104">
        <f t="shared" si="81"/>
        <v>424.57861173208005</v>
      </c>
      <c r="N104">
        <v>7536.4092728214</v>
      </c>
    </row>
    <row r="105" spans="1:16" x14ac:dyDescent="0.3">
      <c r="A105" t="str">
        <f>pv_only!A105</f>
        <v>oregon</v>
      </c>
      <c r="B105" t="str">
        <f>pv_only!B105</f>
        <v>OR</v>
      </c>
      <c r="C105" t="str">
        <f>pv_only!C105</f>
        <v>pge</v>
      </c>
      <c r="D105">
        <f>pv_only!D105</f>
        <v>67263</v>
      </c>
      <c r="E105">
        <f>pv_only!E105</f>
        <v>45.59</v>
      </c>
      <c r="F105">
        <f>pv_only!F105</f>
        <v>-122.6</v>
      </c>
      <c r="G105">
        <f>pv_only!G105</f>
        <v>2021</v>
      </c>
      <c r="H105" t="str">
        <f>pv_only!H105</f>
        <v>amy</v>
      </c>
      <c r="I105">
        <v>1016.6565278611901</v>
      </c>
      <c r="J105">
        <v>1448.6985850000001</v>
      </c>
      <c r="K105">
        <f t="shared" si="81"/>
        <v>432.04205713881004</v>
      </c>
      <c r="L105">
        <f t="shared" ref="L105" si="139">(I105-I104)/I104</f>
        <v>-4.5403014600514362E-3</v>
      </c>
      <c r="M105">
        <f t="shared" ref="M105" si="140">(J105-J104)/J104</f>
        <v>1.95485130455389E-3</v>
      </c>
      <c r="N105">
        <v>7658.5613024061604</v>
      </c>
      <c r="P105">
        <f t="shared" ref="P105" si="141">(N105-N104)/N104</f>
        <v>1.6208253183021524E-2</v>
      </c>
    </row>
    <row r="106" spans="1:16" x14ac:dyDescent="0.3">
      <c r="A106" t="str">
        <f>pv_only!A106</f>
        <v>oregon</v>
      </c>
      <c r="B106" t="str">
        <f>pv_only!B106</f>
        <v>OR</v>
      </c>
      <c r="C106" t="str">
        <f>pv_only!C106</f>
        <v>pge</v>
      </c>
      <c r="D106">
        <f>pv_only!D106</f>
        <v>67263</v>
      </c>
      <c r="E106">
        <f>pv_only!E106</f>
        <v>45.59</v>
      </c>
      <c r="F106">
        <f>pv_only!F106</f>
        <v>-122.6</v>
      </c>
      <c r="G106">
        <f>pv_only!G106</f>
        <v>2022</v>
      </c>
      <c r="H106" t="str">
        <f>pv_only!H106</f>
        <v>tmy</v>
      </c>
      <c r="I106">
        <v>1012.66912250133</v>
      </c>
      <c r="J106">
        <v>1434.5589540000001</v>
      </c>
      <c r="K106">
        <f t="shared" si="81"/>
        <v>421.88983149867011</v>
      </c>
      <c r="N106">
        <v>7536.4092728214</v>
      </c>
    </row>
    <row r="107" spans="1:16" x14ac:dyDescent="0.3">
      <c r="A107" t="str">
        <f>pv_only!A107</f>
        <v>oregon</v>
      </c>
      <c r="B107" t="str">
        <f>pv_only!B107</f>
        <v>OR</v>
      </c>
      <c r="C107" t="str">
        <f>pv_only!C107</f>
        <v>pge</v>
      </c>
      <c r="D107">
        <f>pv_only!D107</f>
        <v>67263</v>
      </c>
      <c r="E107">
        <f>pv_only!E107</f>
        <v>45.59</v>
      </c>
      <c r="F107">
        <f>pv_only!F107</f>
        <v>-122.6</v>
      </c>
      <c r="G107">
        <f>pv_only!G107</f>
        <v>2022</v>
      </c>
      <c r="H107" t="str">
        <f>pv_only!H107</f>
        <v>amy</v>
      </c>
      <c r="I107">
        <v>1017.92035436438</v>
      </c>
      <c r="J107">
        <v>1477.219047</v>
      </c>
      <c r="K107">
        <f t="shared" si="81"/>
        <v>459.29869263562</v>
      </c>
      <c r="L107">
        <f t="shared" ref="L107" si="142">(I107-I106)/I106</f>
        <v>5.1855356763316034E-3</v>
      </c>
      <c r="M107">
        <f t="shared" ref="M107" si="143">(J107-J106)/J106</f>
        <v>2.9737427577340231E-2</v>
      </c>
      <c r="N107">
        <v>7610.1321043795197</v>
      </c>
      <c r="P107">
        <f t="shared" ref="P107" si="144">(N107-N106)/N106</f>
        <v>9.782222393890783E-3</v>
      </c>
    </row>
    <row r="108" spans="1:16" x14ac:dyDescent="0.3">
      <c r="A108" t="str">
        <f>pv_only!A108</f>
        <v>oregon</v>
      </c>
      <c r="B108" t="str">
        <f>pv_only!B108</f>
        <v>OR</v>
      </c>
      <c r="C108" t="str">
        <f>pv_only!C108</f>
        <v>pge</v>
      </c>
      <c r="D108">
        <f>pv_only!D108</f>
        <v>67263</v>
      </c>
      <c r="E108">
        <f>pv_only!E108</f>
        <v>45.59</v>
      </c>
      <c r="F108">
        <f>pv_only!F108</f>
        <v>-122.6</v>
      </c>
      <c r="G108">
        <f>pv_only!G108</f>
        <v>2023</v>
      </c>
      <c r="H108" t="str">
        <f>pv_only!H108</f>
        <v>tmy</v>
      </c>
      <c r="I108">
        <v>998.92639306451997</v>
      </c>
      <c r="J108">
        <v>1420.1308489999999</v>
      </c>
      <c r="K108">
        <f t="shared" si="81"/>
        <v>421.20445593547993</v>
      </c>
      <c r="N108">
        <v>7536.4092728214</v>
      </c>
    </row>
    <row r="109" spans="1:16" x14ac:dyDescent="0.3">
      <c r="A109" t="str">
        <f>pv_only!A109</f>
        <v>oregon</v>
      </c>
      <c r="B109" t="str">
        <f>pv_only!B109</f>
        <v>OR</v>
      </c>
      <c r="C109" t="str">
        <f>pv_only!C109</f>
        <v>pge</v>
      </c>
      <c r="D109">
        <f>pv_only!D109</f>
        <v>67263</v>
      </c>
      <c r="E109">
        <f>pv_only!E109</f>
        <v>45.59</v>
      </c>
      <c r="F109">
        <f>pv_only!F109</f>
        <v>-122.6</v>
      </c>
      <c r="G109">
        <f>pv_only!G109</f>
        <v>2023</v>
      </c>
      <c r="H109" t="str">
        <f>pv_only!H109</f>
        <v>amy</v>
      </c>
      <c r="I109">
        <v>1014.61500068959</v>
      </c>
      <c r="J109">
        <v>1437.9945299999999</v>
      </c>
      <c r="K109">
        <f t="shared" si="81"/>
        <v>423.37952931040991</v>
      </c>
      <c r="L109">
        <f t="shared" ref="L109" si="145">(I109-I108)/I108</f>
        <v>1.5705469125648325E-2</v>
      </c>
      <c r="M109">
        <f t="shared" ref="M109" si="146">(J109-J108)/J108</f>
        <v>1.2578897932242612E-2</v>
      </c>
      <c r="N109">
        <v>7762.9273341253802</v>
      </c>
      <c r="P109">
        <f t="shared" ref="P109" si="147">(N109-N108)/N108</f>
        <v>3.0056496814852358E-2</v>
      </c>
    </row>
    <row r="110" spans="1:16" x14ac:dyDescent="0.3">
      <c r="A110" t="str">
        <f>pv_only!A110</f>
        <v>texas</v>
      </c>
      <c r="B110" t="str">
        <f>pv_only!B110</f>
        <v>TX</v>
      </c>
      <c r="C110" t="str">
        <f>pv_only!C110</f>
        <v>xcel</v>
      </c>
      <c r="D110">
        <f>pv_only!D110</f>
        <v>168160</v>
      </c>
      <c r="E110">
        <f>pv_only!E110</f>
        <v>35.22</v>
      </c>
      <c r="F110">
        <f>pv_only!F110</f>
        <v>-101.71</v>
      </c>
      <c r="G110">
        <f>pv_only!G110</f>
        <v>2018</v>
      </c>
      <c r="H110" t="str">
        <f>pv_only!H110</f>
        <v>tmy</v>
      </c>
      <c r="I110">
        <v>1114.5209598771501</v>
      </c>
      <c r="J110">
        <v>1134.738771</v>
      </c>
      <c r="K110">
        <f t="shared" si="81"/>
        <v>20.21781112284998</v>
      </c>
      <c r="N110">
        <v>10998.328467204299</v>
      </c>
    </row>
    <row r="111" spans="1:16" x14ac:dyDescent="0.3">
      <c r="A111" t="str">
        <f>pv_only!A111</f>
        <v>texas</v>
      </c>
      <c r="B111" t="str">
        <f>pv_only!B111</f>
        <v>TX</v>
      </c>
      <c r="C111" t="str">
        <f>pv_only!C111</f>
        <v>xcel</v>
      </c>
      <c r="D111">
        <f>pv_only!D111</f>
        <v>168160</v>
      </c>
      <c r="E111">
        <f>pv_only!E111</f>
        <v>35.22</v>
      </c>
      <c r="F111">
        <f>pv_only!F111</f>
        <v>-101.71</v>
      </c>
      <c r="G111">
        <f>pv_only!G111</f>
        <v>2018</v>
      </c>
      <c r="H111" t="str">
        <f>pv_only!H111</f>
        <v>amy</v>
      </c>
      <c r="I111">
        <v>1133.4029516651999</v>
      </c>
      <c r="J111">
        <v>1151.396626</v>
      </c>
      <c r="K111">
        <f t="shared" si="81"/>
        <v>17.993674334800062</v>
      </c>
      <c r="L111">
        <f t="shared" ref="L111" si="148">(I111-I110)/I110</f>
        <v>1.6941800529378239E-2</v>
      </c>
      <c r="M111">
        <f t="shared" ref="M111" si="149">(J111-J110)/J110</f>
        <v>1.4679902921903359E-2</v>
      </c>
      <c r="N111">
        <v>10896.0305134438</v>
      </c>
      <c r="P111">
        <f t="shared" ref="P111" si="150">(N111-N110)/N110</f>
        <v>-9.3012273697352342E-3</v>
      </c>
    </row>
    <row r="112" spans="1:16" x14ac:dyDescent="0.3">
      <c r="A112" t="str">
        <f>pv_only!A112</f>
        <v>texas</v>
      </c>
      <c r="B112" t="str">
        <f>pv_only!B112</f>
        <v>TX</v>
      </c>
      <c r="C112" t="str">
        <f>pv_only!C112</f>
        <v>xcel</v>
      </c>
      <c r="D112">
        <f>pv_only!D112</f>
        <v>168160</v>
      </c>
      <c r="E112">
        <f>pv_only!E112</f>
        <v>35.22</v>
      </c>
      <c r="F112">
        <f>pv_only!F112</f>
        <v>-101.71</v>
      </c>
      <c r="G112">
        <f>pv_only!G112</f>
        <v>2019</v>
      </c>
      <c r="H112" t="str">
        <f>pv_only!H112</f>
        <v>tmy</v>
      </c>
      <c r="I112">
        <v>1122.7797977054599</v>
      </c>
      <c r="J112">
        <v>1136.3135830000001</v>
      </c>
      <c r="K112">
        <f t="shared" si="81"/>
        <v>13.533785294540166</v>
      </c>
      <c r="N112">
        <v>10998.328467204299</v>
      </c>
    </row>
    <row r="113" spans="1:16" x14ac:dyDescent="0.3">
      <c r="A113" t="str">
        <f>pv_only!A113</f>
        <v>texas</v>
      </c>
      <c r="B113" t="str">
        <f>pv_only!B113</f>
        <v>TX</v>
      </c>
      <c r="C113" t="str">
        <f>pv_only!C113</f>
        <v>xcel</v>
      </c>
      <c r="D113">
        <f>pv_only!D113</f>
        <v>168160</v>
      </c>
      <c r="E113">
        <f>pv_only!E113</f>
        <v>35.22</v>
      </c>
      <c r="F113">
        <f>pv_only!F113</f>
        <v>-101.71</v>
      </c>
      <c r="G113">
        <f>pv_only!G113</f>
        <v>2019</v>
      </c>
      <c r="H113" t="str">
        <f>pv_only!H113</f>
        <v>amy</v>
      </c>
      <c r="I113">
        <v>1102.1899927695599</v>
      </c>
      <c r="J113">
        <v>1115.540696</v>
      </c>
      <c r="K113">
        <f t="shared" si="81"/>
        <v>13.350703230440104</v>
      </c>
      <c r="L113">
        <f t="shared" ref="L113" si="151">(I113-I112)/I112</f>
        <v>-1.8338239588900553E-2</v>
      </c>
      <c r="M113">
        <f t="shared" ref="M113" si="152">(J113-J112)/J112</f>
        <v>-1.8280945780087609E-2</v>
      </c>
      <c r="N113">
        <v>10725.060852325199</v>
      </c>
      <c r="P113">
        <f t="shared" ref="P113" si="153">(N113-N112)/N112</f>
        <v>-2.4846286023730884E-2</v>
      </c>
    </row>
    <row r="114" spans="1:16" x14ac:dyDescent="0.3">
      <c r="A114" t="str">
        <f>pv_only!A114</f>
        <v>texas</v>
      </c>
      <c r="B114" t="str">
        <f>pv_only!B114</f>
        <v>TX</v>
      </c>
      <c r="C114" t="str">
        <f>pv_only!C114</f>
        <v>xcel</v>
      </c>
      <c r="D114">
        <f>pv_only!D114</f>
        <v>168160</v>
      </c>
      <c r="E114">
        <f>pv_only!E114</f>
        <v>35.22</v>
      </c>
      <c r="F114">
        <f>pv_only!F114</f>
        <v>-101.71</v>
      </c>
      <c r="G114">
        <f>pv_only!G114</f>
        <v>2020</v>
      </c>
      <c r="H114" t="str">
        <f>pv_only!H114</f>
        <v>tmy</v>
      </c>
      <c r="I114">
        <v>1138.83424791011</v>
      </c>
      <c r="J114">
        <v>1156.2578550000001</v>
      </c>
      <c r="K114">
        <f t="shared" si="81"/>
        <v>17.423607089890083</v>
      </c>
      <c r="N114">
        <v>10998.328467204299</v>
      </c>
    </row>
    <row r="115" spans="1:16" x14ac:dyDescent="0.3">
      <c r="A115" t="str">
        <f>pv_only!A115</f>
        <v>texas</v>
      </c>
      <c r="B115" t="str">
        <f>pv_only!B115</f>
        <v>TX</v>
      </c>
      <c r="C115" t="str">
        <f>pv_only!C115</f>
        <v>xcel</v>
      </c>
      <c r="D115">
        <f>pv_only!D115</f>
        <v>168160</v>
      </c>
      <c r="E115">
        <f>pv_only!E115</f>
        <v>35.22</v>
      </c>
      <c r="F115">
        <f>pv_only!F115</f>
        <v>-101.71</v>
      </c>
      <c r="G115">
        <f>pv_only!G115</f>
        <v>2020</v>
      </c>
      <c r="H115" t="str">
        <f>pv_only!H115</f>
        <v>amy</v>
      </c>
      <c r="I115">
        <v>1144.5639919533801</v>
      </c>
      <c r="J115">
        <v>1162.715944</v>
      </c>
      <c r="K115">
        <f t="shared" si="81"/>
        <v>18.151952046619954</v>
      </c>
      <c r="L115">
        <f t="shared" ref="L115" si="154">(I115-I114)/I114</f>
        <v>5.0312361555554137E-3</v>
      </c>
      <c r="M115">
        <f t="shared" ref="M115" si="155">(J115-J114)/J114</f>
        <v>5.585336326212437E-3</v>
      </c>
      <c r="N115">
        <v>11154.431047558401</v>
      </c>
      <c r="P115">
        <f t="shared" ref="P115" si="156">(N115-N114)/N114</f>
        <v>1.419330044738896E-2</v>
      </c>
    </row>
    <row r="116" spans="1:16" x14ac:dyDescent="0.3">
      <c r="A116" t="str">
        <f>pv_only!A116</f>
        <v>texas</v>
      </c>
      <c r="B116" t="str">
        <f>pv_only!B116</f>
        <v>TX</v>
      </c>
      <c r="C116" t="str">
        <f>pv_only!C116</f>
        <v>xcel</v>
      </c>
      <c r="D116">
        <f>pv_only!D116</f>
        <v>168160</v>
      </c>
      <c r="E116">
        <f>pv_only!E116</f>
        <v>35.22</v>
      </c>
      <c r="F116">
        <f>pv_only!F116</f>
        <v>-101.71</v>
      </c>
      <c r="G116">
        <f>pv_only!G116</f>
        <v>2021</v>
      </c>
      <c r="H116" t="str">
        <f>pv_only!H116</f>
        <v>tmy</v>
      </c>
      <c r="I116">
        <v>1117.62866339893</v>
      </c>
      <c r="J116">
        <v>1132.273418</v>
      </c>
      <c r="K116">
        <f t="shared" si="81"/>
        <v>14.644754601069963</v>
      </c>
      <c r="N116">
        <v>10998.328467204299</v>
      </c>
    </row>
    <row r="117" spans="1:16" x14ac:dyDescent="0.3">
      <c r="A117" t="str">
        <f>pv_only!A117</f>
        <v>texas</v>
      </c>
      <c r="B117" t="str">
        <f>pv_only!B117</f>
        <v>TX</v>
      </c>
      <c r="C117" t="str">
        <f>pv_only!C117</f>
        <v>xcel</v>
      </c>
      <c r="D117">
        <f>pv_only!D117</f>
        <v>168160</v>
      </c>
      <c r="E117">
        <f>pv_only!E117</f>
        <v>35.22</v>
      </c>
      <c r="F117">
        <f>pv_only!F117</f>
        <v>-101.71</v>
      </c>
      <c r="G117">
        <f>pv_only!G117</f>
        <v>2021</v>
      </c>
      <c r="H117" t="str">
        <f>pv_only!H117</f>
        <v>amy</v>
      </c>
      <c r="I117">
        <v>1109.25885150366</v>
      </c>
      <c r="J117">
        <v>1124.1922489999999</v>
      </c>
      <c r="K117">
        <f t="shared" si="81"/>
        <v>14.933397496339921</v>
      </c>
      <c r="L117">
        <f t="shared" ref="L117" si="157">(I117-I116)/I116</f>
        <v>-7.4889023245124633E-3</v>
      </c>
      <c r="M117">
        <f t="shared" ref="M117" si="158">(J117-J116)/J116</f>
        <v>-7.1371180065979839E-3</v>
      </c>
      <c r="N117">
        <v>11020.131276384</v>
      </c>
      <c r="P117">
        <f t="shared" ref="P117" si="159">(N117-N116)/N116</f>
        <v>1.9823747985626963E-3</v>
      </c>
    </row>
    <row r="118" spans="1:16" x14ac:dyDescent="0.3">
      <c r="A118" t="str">
        <f>pv_only!A118</f>
        <v>texas</v>
      </c>
      <c r="B118" t="str">
        <f>pv_only!B118</f>
        <v>TX</v>
      </c>
      <c r="C118" t="str">
        <f>pv_only!C118</f>
        <v>xcel</v>
      </c>
      <c r="D118">
        <f>pv_only!D118</f>
        <v>168160</v>
      </c>
      <c r="E118">
        <f>pv_only!E118</f>
        <v>35.22</v>
      </c>
      <c r="F118">
        <f>pv_only!F118</f>
        <v>-101.71</v>
      </c>
      <c r="G118">
        <f>pv_only!G118</f>
        <v>2022</v>
      </c>
      <c r="H118" t="str">
        <f>pv_only!H118</f>
        <v>tmy</v>
      </c>
      <c r="I118">
        <v>1135.21070129131</v>
      </c>
      <c r="J118">
        <v>1152.0380709999999</v>
      </c>
      <c r="K118">
        <f t="shared" si="81"/>
        <v>16.827369708689957</v>
      </c>
      <c r="N118">
        <v>10998.328467204299</v>
      </c>
    </row>
    <row r="119" spans="1:16" x14ac:dyDescent="0.3">
      <c r="A119" t="str">
        <f>pv_only!A119</f>
        <v>texas</v>
      </c>
      <c r="B119" t="str">
        <f>pv_only!B119</f>
        <v>TX</v>
      </c>
      <c r="C119" t="str">
        <f>pv_only!C119</f>
        <v>xcel</v>
      </c>
      <c r="D119">
        <f>pv_only!D119</f>
        <v>168160</v>
      </c>
      <c r="E119">
        <f>pv_only!E119</f>
        <v>35.22</v>
      </c>
      <c r="F119">
        <f>pv_only!F119</f>
        <v>-101.71</v>
      </c>
      <c r="G119">
        <f>pv_only!G119</f>
        <v>2022</v>
      </c>
      <c r="H119" t="str">
        <f>pv_only!H119</f>
        <v>amy</v>
      </c>
      <c r="I119">
        <v>1174.4839412394599</v>
      </c>
      <c r="J119">
        <v>1186.8080440000001</v>
      </c>
      <c r="K119">
        <f t="shared" si="81"/>
        <v>12.3241027605402</v>
      </c>
      <c r="L119">
        <f t="shared" ref="L119" si="160">(I119-I118)/I118</f>
        <v>3.4595551207785777E-2</v>
      </c>
      <c r="M119">
        <f t="shared" ref="M119" si="161">(J119-J118)/J118</f>
        <v>3.0181270806284115E-2</v>
      </c>
      <c r="N119">
        <v>11221.6557741988</v>
      </c>
      <c r="P119">
        <f t="shared" ref="P119" si="162">(N119-N118)/N118</f>
        <v>2.0305568037946503E-2</v>
      </c>
    </row>
    <row r="120" spans="1:16" x14ac:dyDescent="0.3">
      <c r="A120" t="str">
        <f>pv_only!A120</f>
        <v>texas</v>
      </c>
      <c r="B120" t="str">
        <f>pv_only!B120</f>
        <v>TX</v>
      </c>
      <c r="C120" t="str">
        <f>pv_only!C120</f>
        <v>xcel</v>
      </c>
      <c r="D120">
        <f>pv_only!D120</f>
        <v>168160</v>
      </c>
      <c r="E120">
        <f>pv_only!E120</f>
        <v>35.22</v>
      </c>
      <c r="F120">
        <f>pv_only!F120</f>
        <v>-101.71</v>
      </c>
      <c r="G120">
        <f>pv_only!G120</f>
        <v>2023</v>
      </c>
      <c r="H120" t="str">
        <f>pv_only!H120</f>
        <v>tmy</v>
      </c>
      <c r="I120">
        <v>1137.1882374960101</v>
      </c>
      <c r="J120">
        <v>1150.032921</v>
      </c>
      <c r="K120">
        <f t="shared" si="81"/>
        <v>12.844683503989927</v>
      </c>
      <c r="N120">
        <v>10998.328467204299</v>
      </c>
    </row>
    <row r="121" spans="1:16" x14ac:dyDescent="0.3">
      <c r="A121" t="str">
        <f>pv_only!A121</f>
        <v>texas</v>
      </c>
      <c r="B121" t="str">
        <f>pv_only!B121</f>
        <v>TX</v>
      </c>
      <c r="C121" t="str">
        <f>pv_only!C121</f>
        <v>xcel</v>
      </c>
      <c r="D121">
        <f>pv_only!D121</f>
        <v>168160</v>
      </c>
      <c r="E121">
        <f>pv_only!E121</f>
        <v>35.22</v>
      </c>
      <c r="F121">
        <f>pv_only!F121</f>
        <v>-101.71</v>
      </c>
      <c r="G121">
        <f>pv_only!G121</f>
        <v>2023</v>
      </c>
      <c r="H121" t="str">
        <f>pv_only!H121</f>
        <v>amy</v>
      </c>
      <c r="I121">
        <v>1138.72925218308</v>
      </c>
      <c r="J121">
        <v>1151.923503</v>
      </c>
      <c r="K121">
        <f t="shared" si="81"/>
        <v>13.194250816919975</v>
      </c>
      <c r="L121">
        <f t="shared" ref="L121" si="163">(I121-I120)/I120</f>
        <v>1.3551095907069239E-3</v>
      </c>
      <c r="M121">
        <f t="shared" ref="M121" si="164">(J121-J120)/J120</f>
        <v>1.6439372869048458E-3</v>
      </c>
      <c r="N121">
        <v>11162.804514433499</v>
      </c>
      <c r="P121">
        <f t="shared" ref="P121" si="165">(N121-N120)/N120</f>
        <v>1.4954640400097884E-2</v>
      </c>
    </row>
    <row r="122" spans="1:16" x14ac:dyDescent="0.3">
      <c r="A122" t="str">
        <f>pv_only!A122</f>
        <v>vermont</v>
      </c>
      <c r="B122" t="str">
        <f>pv_only!B122</f>
        <v>VT</v>
      </c>
      <c r="C122" t="str">
        <f>pv_only!C122</f>
        <v>gmp</v>
      </c>
      <c r="D122">
        <f>pv_only!D122</f>
        <v>1652</v>
      </c>
      <c r="E122">
        <f>pv_only!E122</f>
        <v>44.47</v>
      </c>
      <c r="F122">
        <f>pv_only!F122</f>
        <v>-73.150000000000006</v>
      </c>
      <c r="G122">
        <f>pv_only!G122</f>
        <v>2018</v>
      </c>
      <c r="H122" t="str">
        <f>pv_only!H122</f>
        <v>tmy</v>
      </c>
      <c r="I122">
        <v>1487.96655202683</v>
      </c>
      <c r="J122">
        <v>1554.479182</v>
      </c>
      <c r="K122">
        <f t="shared" si="81"/>
        <v>66.512629973170078</v>
      </c>
      <c r="N122">
        <v>7791.1816478707697</v>
      </c>
    </row>
    <row r="123" spans="1:16" x14ac:dyDescent="0.3">
      <c r="A123" t="str">
        <f>pv_only!A123</f>
        <v>vermont</v>
      </c>
      <c r="B123" t="str">
        <f>pv_only!B123</f>
        <v>VT</v>
      </c>
      <c r="C123" t="str">
        <f>pv_only!C123</f>
        <v>gmp</v>
      </c>
      <c r="D123">
        <f>pv_only!D123</f>
        <v>1652</v>
      </c>
      <c r="E123">
        <f>pv_only!E123</f>
        <v>44.47</v>
      </c>
      <c r="F123">
        <f>pv_only!F123</f>
        <v>-73.150000000000006</v>
      </c>
      <c r="G123">
        <f>pv_only!G123</f>
        <v>2018</v>
      </c>
      <c r="H123" t="str">
        <f>pv_only!H123</f>
        <v>amy</v>
      </c>
      <c r="I123">
        <v>1431.62906636412</v>
      </c>
      <c r="J123">
        <v>1508.9474749999999</v>
      </c>
      <c r="K123">
        <f t="shared" si="81"/>
        <v>77.318408635879905</v>
      </c>
      <c r="L123">
        <f t="shared" ref="L123" si="166">(I123-I122)/I122</f>
        <v>-3.7862064564536051E-2</v>
      </c>
      <c r="M123">
        <f t="shared" ref="M123" si="167">(J123-J122)/J122</f>
        <v>-2.9290650867011801E-2</v>
      </c>
      <c r="N123">
        <v>7545.0703052098997</v>
      </c>
      <c r="P123">
        <f t="shared" ref="P123" si="168">(N123-N122)/N122</f>
        <v>-3.1588448810987359E-2</v>
      </c>
    </row>
    <row r="124" spans="1:16" x14ac:dyDescent="0.3">
      <c r="A124" t="str">
        <f>pv_only!A124</f>
        <v>vermont</v>
      </c>
      <c r="B124" t="str">
        <f>pv_only!B124</f>
        <v>VT</v>
      </c>
      <c r="C124" t="str">
        <f>pv_only!C124</f>
        <v>gmp</v>
      </c>
      <c r="D124">
        <f>pv_only!D124</f>
        <v>1652</v>
      </c>
      <c r="E124">
        <f>pv_only!E124</f>
        <v>44.47</v>
      </c>
      <c r="F124">
        <f>pv_only!F124</f>
        <v>-73.150000000000006</v>
      </c>
      <c r="G124">
        <f>pv_only!G124</f>
        <v>2019</v>
      </c>
      <c r="H124" t="str">
        <f>pv_only!H124</f>
        <v>tmy</v>
      </c>
      <c r="I124">
        <v>1486.93389721891</v>
      </c>
      <c r="J124">
        <v>1551.0515479999999</v>
      </c>
      <c r="K124">
        <f t="shared" si="81"/>
        <v>64.117650781089878</v>
      </c>
      <c r="N124">
        <v>7791.1816478707697</v>
      </c>
    </row>
    <row r="125" spans="1:16" x14ac:dyDescent="0.3">
      <c r="A125" t="str">
        <f>pv_only!A125</f>
        <v>vermont</v>
      </c>
      <c r="B125" t="str">
        <f>pv_only!B125</f>
        <v>VT</v>
      </c>
      <c r="C125" t="str">
        <f>pv_only!C125</f>
        <v>gmp</v>
      </c>
      <c r="D125">
        <f>pv_only!D125</f>
        <v>1652</v>
      </c>
      <c r="E125">
        <f>pv_only!E125</f>
        <v>44.47</v>
      </c>
      <c r="F125">
        <f>pv_only!F125</f>
        <v>-73.150000000000006</v>
      </c>
      <c r="G125">
        <f>pv_only!G125</f>
        <v>2019</v>
      </c>
      <c r="H125" t="str">
        <f>pv_only!H125</f>
        <v>amy</v>
      </c>
      <c r="I125">
        <v>1472.9920104165601</v>
      </c>
      <c r="J125">
        <v>1550.68228</v>
      </c>
      <c r="K125">
        <f t="shared" si="81"/>
        <v>77.690269583439886</v>
      </c>
      <c r="L125">
        <f t="shared" ref="L125" si="169">(I125-I124)/I124</f>
        <v>-9.3762653662184739E-3</v>
      </c>
      <c r="M125">
        <f t="shared" ref="M125" si="170">(J125-J124)/J124</f>
        <v>-2.3807590436054289E-4</v>
      </c>
      <c r="N125">
        <v>7718.5602043873496</v>
      </c>
      <c r="P125">
        <f t="shared" ref="P125" si="171">(N125-N124)/N124</f>
        <v>-9.320979379715346E-3</v>
      </c>
    </row>
    <row r="126" spans="1:16" x14ac:dyDescent="0.3">
      <c r="A126" t="str">
        <f>pv_only!A126</f>
        <v>vermont</v>
      </c>
      <c r="B126" t="str">
        <f>pv_only!B126</f>
        <v>VT</v>
      </c>
      <c r="C126" t="str">
        <f>pv_only!C126</f>
        <v>gmp</v>
      </c>
      <c r="D126">
        <f>pv_only!D126</f>
        <v>1652</v>
      </c>
      <c r="E126">
        <f>pv_only!E126</f>
        <v>44.47</v>
      </c>
      <c r="F126">
        <f>pv_only!F126</f>
        <v>-73.150000000000006</v>
      </c>
      <c r="G126">
        <f>pv_only!G126</f>
        <v>2020</v>
      </c>
      <c r="H126" t="str">
        <f>pv_only!H126</f>
        <v>tmy</v>
      </c>
      <c r="I126">
        <v>1488.5083746308301</v>
      </c>
      <c r="J126">
        <v>1555.0091970000001</v>
      </c>
      <c r="K126">
        <f t="shared" si="81"/>
        <v>66.50082236917001</v>
      </c>
      <c r="N126">
        <v>7791.1816478707697</v>
      </c>
    </row>
    <row r="127" spans="1:16" x14ac:dyDescent="0.3">
      <c r="A127" t="str">
        <f>pv_only!A127</f>
        <v>vermont</v>
      </c>
      <c r="B127" t="str">
        <f>pv_only!B127</f>
        <v>VT</v>
      </c>
      <c r="C127" t="str">
        <f>pv_only!C127</f>
        <v>gmp</v>
      </c>
      <c r="D127">
        <f>pv_only!D127</f>
        <v>1652</v>
      </c>
      <c r="E127">
        <f>pv_only!E127</f>
        <v>44.47</v>
      </c>
      <c r="F127">
        <f>pv_only!F127</f>
        <v>-73.150000000000006</v>
      </c>
      <c r="G127">
        <f>pv_only!G127</f>
        <v>2020</v>
      </c>
      <c r="H127" t="str">
        <f>pv_only!H127</f>
        <v>amy</v>
      </c>
      <c r="I127">
        <v>1445.00209009591</v>
      </c>
      <c r="J127">
        <v>1512.4100249999999</v>
      </c>
      <c r="K127">
        <f t="shared" si="81"/>
        <v>67.407934904089871</v>
      </c>
      <c r="L127">
        <f t="shared" ref="L127" si="172">(I127-I126)/I126</f>
        <v>-2.9228108673362473E-2</v>
      </c>
      <c r="M127">
        <f t="shared" ref="M127" si="173">(J127-J126)/J126</f>
        <v>-2.7394803890668035E-2</v>
      </c>
      <c r="N127">
        <v>7556.4483592126799</v>
      </c>
      <c r="P127">
        <f t="shared" ref="P127" si="174">(N127-N126)/N126</f>
        <v>-3.0128072899216696E-2</v>
      </c>
    </row>
    <row r="128" spans="1:16" x14ac:dyDescent="0.3">
      <c r="A128" t="str">
        <f>pv_only!A128</f>
        <v>vermont</v>
      </c>
      <c r="B128" t="str">
        <f>pv_only!B128</f>
        <v>VT</v>
      </c>
      <c r="C128" t="str">
        <f>pv_only!C128</f>
        <v>gmp</v>
      </c>
      <c r="D128">
        <f>pv_only!D128</f>
        <v>1652</v>
      </c>
      <c r="E128">
        <f>pv_only!E128</f>
        <v>44.47</v>
      </c>
      <c r="F128">
        <f>pv_only!F128</f>
        <v>-73.150000000000006</v>
      </c>
      <c r="G128">
        <f>pv_only!G128</f>
        <v>2021</v>
      </c>
      <c r="H128" t="str">
        <f>pv_only!H128</f>
        <v>tmy</v>
      </c>
      <c r="I128">
        <v>1488.60536743788</v>
      </c>
      <c r="J128">
        <v>1553.4812480000001</v>
      </c>
      <c r="K128">
        <f t="shared" si="81"/>
        <v>64.875880562120074</v>
      </c>
      <c r="N128">
        <v>7791.1816478707697</v>
      </c>
    </row>
    <row r="129" spans="1:16" x14ac:dyDescent="0.3">
      <c r="A129" t="str">
        <f>pv_only!A129</f>
        <v>vermont</v>
      </c>
      <c r="B129" t="str">
        <f>pv_only!B129</f>
        <v>VT</v>
      </c>
      <c r="C129" t="str">
        <f>pv_only!C129</f>
        <v>gmp</v>
      </c>
      <c r="D129">
        <f>pv_only!D129</f>
        <v>1652</v>
      </c>
      <c r="E129">
        <f>pv_only!E129</f>
        <v>44.47</v>
      </c>
      <c r="F129">
        <f>pv_only!F129</f>
        <v>-73.150000000000006</v>
      </c>
      <c r="G129">
        <f>pv_only!G129</f>
        <v>2021</v>
      </c>
      <c r="H129" t="str">
        <f>pv_only!H129</f>
        <v>amy</v>
      </c>
      <c r="I129">
        <v>1462.7896313410899</v>
      </c>
      <c r="J129">
        <v>1534.895113</v>
      </c>
      <c r="K129">
        <f t="shared" si="81"/>
        <v>72.105481658910094</v>
      </c>
      <c r="L129">
        <f t="shared" ref="L129" si="175">(I129-I128)/I128</f>
        <v>-1.7342229620750937E-2</v>
      </c>
      <c r="M129">
        <f t="shared" ref="M129" si="176">(J129-J128)/J128</f>
        <v>-1.196418368353553E-2</v>
      </c>
      <c r="N129">
        <v>7588.4673594527303</v>
      </c>
      <c r="P129">
        <f t="shared" ref="P129" si="177">(N129-N128)/N128</f>
        <v>-2.6018426675167891E-2</v>
      </c>
    </row>
    <row r="130" spans="1:16" x14ac:dyDescent="0.3">
      <c r="A130" t="str">
        <f>pv_only!A130</f>
        <v>vermont</v>
      </c>
      <c r="B130" t="str">
        <f>pv_only!B130</f>
        <v>VT</v>
      </c>
      <c r="C130" t="str">
        <f>pv_only!C130</f>
        <v>gmp</v>
      </c>
      <c r="D130">
        <f>pv_only!D130</f>
        <v>1652</v>
      </c>
      <c r="E130">
        <f>pv_only!E130</f>
        <v>44.47</v>
      </c>
      <c r="F130">
        <f>pv_only!F130</f>
        <v>-73.150000000000006</v>
      </c>
      <c r="G130">
        <f>pv_only!G130</f>
        <v>2022</v>
      </c>
      <c r="H130" t="str">
        <f>pv_only!H130</f>
        <v>tmy</v>
      </c>
      <c r="I130">
        <v>1488.38773641686</v>
      </c>
      <c r="J130">
        <v>1553.363194</v>
      </c>
      <c r="K130">
        <f t="shared" si="81"/>
        <v>64.975457583140042</v>
      </c>
      <c r="N130">
        <v>7791.1816478707697</v>
      </c>
    </row>
    <row r="131" spans="1:16" x14ac:dyDescent="0.3">
      <c r="A131" t="str">
        <f>pv_only!A131</f>
        <v>vermont</v>
      </c>
      <c r="B131" t="str">
        <f>pv_only!B131</f>
        <v>VT</v>
      </c>
      <c r="C131" t="str">
        <f>pv_only!C131</f>
        <v>gmp</v>
      </c>
      <c r="D131">
        <f>pv_only!D131</f>
        <v>1652</v>
      </c>
      <c r="E131">
        <f>pv_only!E131</f>
        <v>44.47</v>
      </c>
      <c r="F131">
        <f>pv_only!F131</f>
        <v>-73.150000000000006</v>
      </c>
      <c r="G131">
        <f>pv_only!G131</f>
        <v>2022</v>
      </c>
      <c r="H131" t="str">
        <f>pv_only!H131</f>
        <v>amy</v>
      </c>
      <c r="I131">
        <v>1502.77109080744</v>
      </c>
      <c r="J131">
        <v>1586.5723250000001</v>
      </c>
      <c r="K131">
        <f t="shared" ref="K131:K145" si="178">J131-I131</f>
        <v>83.801234192560059</v>
      </c>
      <c r="L131">
        <f t="shared" ref="L131" si="179">(I131-I130)/I130</f>
        <v>9.6637146616153236E-3</v>
      </c>
      <c r="M131">
        <f t="shared" ref="M131" si="180">(J131-J130)/J130</f>
        <v>2.1378857905397279E-2</v>
      </c>
      <c r="N131">
        <v>7848.7365340635297</v>
      </c>
      <c r="P131">
        <f t="shared" ref="P131" si="181">(N131-N130)/N130</f>
        <v>7.3871832019843922E-3</v>
      </c>
    </row>
    <row r="132" spans="1:16" x14ac:dyDescent="0.3">
      <c r="A132" t="str">
        <f>pv_only!A132</f>
        <v>vermont</v>
      </c>
      <c r="B132" t="str">
        <f>pv_only!B132</f>
        <v>VT</v>
      </c>
      <c r="C132" t="str">
        <f>pv_only!C132</f>
        <v>gmp</v>
      </c>
      <c r="D132">
        <f>pv_only!D132</f>
        <v>1652</v>
      </c>
      <c r="E132">
        <f>pv_only!E132</f>
        <v>44.47</v>
      </c>
      <c r="F132">
        <f>pv_only!F132</f>
        <v>-73.150000000000006</v>
      </c>
      <c r="G132">
        <f>pv_only!G132</f>
        <v>2023</v>
      </c>
      <c r="H132" t="str">
        <f>pv_only!H132</f>
        <v>tmy</v>
      </c>
      <c r="I132">
        <v>1486.8154623283201</v>
      </c>
      <c r="J132">
        <v>1551.244109</v>
      </c>
      <c r="K132">
        <f t="shared" si="178"/>
        <v>64.428646671679871</v>
      </c>
      <c r="N132">
        <v>7791.1816478707697</v>
      </c>
    </row>
    <row r="133" spans="1:16" x14ac:dyDescent="0.3">
      <c r="A133" t="str">
        <f>pv_only!A133</f>
        <v>vermont</v>
      </c>
      <c r="B133" t="str">
        <f>pv_only!B133</f>
        <v>VT</v>
      </c>
      <c r="C133" t="str">
        <f>pv_only!C133</f>
        <v>gmp</v>
      </c>
      <c r="D133">
        <f>pv_only!D133</f>
        <v>1652</v>
      </c>
      <c r="E133">
        <f>pv_only!E133</f>
        <v>44.47</v>
      </c>
      <c r="F133">
        <f>pv_only!F133</f>
        <v>-73.150000000000006</v>
      </c>
      <c r="G133">
        <f>pv_only!G133</f>
        <v>2023</v>
      </c>
      <c r="H133" t="str">
        <f>pv_only!H133</f>
        <v>amy</v>
      </c>
      <c r="I133">
        <v>1324.1769493174299</v>
      </c>
      <c r="J133">
        <v>1394.783418</v>
      </c>
      <c r="K133">
        <f t="shared" si="178"/>
        <v>70.606468682570039</v>
      </c>
      <c r="L133">
        <f t="shared" ref="L133" si="182">(I133-I132)/I132</f>
        <v>-0.10938715471535509</v>
      </c>
      <c r="M133">
        <f t="shared" ref="M133" si="183">(J133-J132)/J132</f>
        <v>-0.10086142477012301</v>
      </c>
      <c r="N133">
        <v>6978.2580819581699</v>
      </c>
      <c r="P133">
        <f t="shared" ref="P133" si="184">(N133-N132)/N132</f>
        <v>-0.10433893119855078</v>
      </c>
    </row>
    <row r="134" spans="1:16" x14ac:dyDescent="0.3">
      <c r="A134" t="str">
        <f>pv_only!A134</f>
        <v>wisconsin</v>
      </c>
      <c r="B134" t="str">
        <f>pv_only!B134</f>
        <v>WI</v>
      </c>
      <c r="C134" t="str">
        <f>pv_only!C134</f>
        <v>we_energies</v>
      </c>
      <c r="D134">
        <f>pv_only!D134</f>
        <v>467842</v>
      </c>
      <c r="E134">
        <f>pv_only!E134</f>
        <v>42.95</v>
      </c>
      <c r="F134">
        <f>pv_only!F134</f>
        <v>-87.9</v>
      </c>
      <c r="G134">
        <f>pv_only!G134</f>
        <v>2018</v>
      </c>
      <c r="H134" t="str">
        <f>pv_only!H134</f>
        <v>tmy</v>
      </c>
      <c r="I134">
        <v>1385.8659492100501</v>
      </c>
      <c r="J134">
        <v>1386.0752279999999</v>
      </c>
      <c r="K134">
        <f t="shared" si="178"/>
        <v>0.20927878994984894</v>
      </c>
      <c r="N134">
        <v>8292.5516027999292</v>
      </c>
    </row>
    <row r="135" spans="1:16" x14ac:dyDescent="0.3">
      <c r="A135" t="str">
        <f>pv_only!A135</f>
        <v>wisconsin</v>
      </c>
      <c r="B135" t="str">
        <f>pv_only!B135</f>
        <v>WI</v>
      </c>
      <c r="C135" t="str">
        <f>pv_only!C135</f>
        <v>we_energies</v>
      </c>
      <c r="D135">
        <f>pv_only!D135</f>
        <v>467842</v>
      </c>
      <c r="E135">
        <f>pv_only!E135</f>
        <v>42.95</v>
      </c>
      <c r="F135">
        <f>pv_only!F135</f>
        <v>-87.9</v>
      </c>
      <c r="G135">
        <f>pv_only!G135</f>
        <v>2018</v>
      </c>
      <c r="H135" t="str">
        <f>pv_only!H135</f>
        <v>amy</v>
      </c>
      <c r="I135">
        <v>1382.8096228775601</v>
      </c>
      <c r="J135">
        <v>1383.5396069999999</v>
      </c>
      <c r="K135">
        <f t="shared" si="178"/>
        <v>0.72998412243987332</v>
      </c>
      <c r="L135">
        <f t="shared" ref="L135" si="185">(I135-I134)/I134</f>
        <v>-2.2053549509836331E-3</v>
      </c>
      <c r="M135">
        <f t="shared" ref="M135" si="186">(J135-J134)/J134</f>
        <v>-1.8293530890518101E-3</v>
      </c>
      <c r="N135">
        <v>8261.60328840681</v>
      </c>
      <c r="P135">
        <f t="shared" ref="P135" si="187">(N135-N134)/N134</f>
        <v>-3.7320617194193618E-3</v>
      </c>
    </row>
    <row r="136" spans="1:16" x14ac:dyDescent="0.3">
      <c r="A136" t="str">
        <f>pv_only!A136</f>
        <v>wisconsin</v>
      </c>
      <c r="B136" t="str">
        <f>pv_only!B136</f>
        <v>WI</v>
      </c>
      <c r="C136" t="str">
        <f>pv_only!C136</f>
        <v>we_energies</v>
      </c>
      <c r="D136">
        <f>pv_only!D136</f>
        <v>467842</v>
      </c>
      <c r="E136">
        <f>pv_only!E136</f>
        <v>42.95</v>
      </c>
      <c r="F136">
        <f>pv_only!F136</f>
        <v>-87.9</v>
      </c>
      <c r="G136">
        <f>pv_only!G136</f>
        <v>2019</v>
      </c>
      <c r="H136" t="str">
        <f>pv_only!H136</f>
        <v>tmy</v>
      </c>
      <c r="I136">
        <v>1353.6898101679101</v>
      </c>
      <c r="J136">
        <v>1354.207868</v>
      </c>
      <c r="K136">
        <f t="shared" si="178"/>
        <v>0.51805783208988032</v>
      </c>
      <c r="N136">
        <v>8292.5516027999292</v>
      </c>
    </row>
    <row r="137" spans="1:16" x14ac:dyDescent="0.3">
      <c r="A137" t="str">
        <f>pv_only!A137</f>
        <v>wisconsin</v>
      </c>
      <c r="B137" t="str">
        <f>pv_only!B137</f>
        <v>WI</v>
      </c>
      <c r="C137" t="str">
        <f>pv_only!C137</f>
        <v>we_energies</v>
      </c>
      <c r="D137">
        <f>pv_only!D137</f>
        <v>467842</v>
      </c>
      <c r="E137">
        <f>pv_only!E137</f>
        <v>42.95</v>
      </c>
      <c r="F137">
        <f>pv_only!F137</f>
        <v>-87.9</v>
      </c>
      <c r="G137">
        <f>pv_only!G137</f>
        <v>2019</v>
      </c>
      <c r="H137" t="str">
        <f>pv_only!H137</f>
        <v>amy</v>
      </c>
      <c r="I137">
        <v>1325.22770193879</v>
      </c>
      <c r="J137">
        <v>1325.5970870000001</v>
      </c>
      <c r="K137">
        <f t="shared" si="178"/>
        <v>0.36938506121009596</v>
      </c>
      <c r="L137">
        <f t="shared" ref="L137" si="188">(I137-I136)/I136</f>
        <v>-2.102557618099354E-2</v>
      </c>
      <c r="M137">
        <f t="shared" ref="M137" si="189">(J137-J136)/J136</f>
        <v>-2.1127318542503003E-2</v>
      </c>
      <c r="N137">
        <v>7831.3854285038597</v>
      </c>
      <c r="P137">
        <f t="shared" ref="P137" si="190">(N137-N136)/N136</f>
        <v>-5.5612095816245467E-2</v>
      </c>
    </row>
    <row r="138" spans="1:16" x14ac:dyDescent="0.3">
      <c r="A138" t="str">
        <f>pv_only!A138</f>
        <v>wisconsin</v>
      </c>
      <c r="B138" t="str">
        <f>pv_only!B138</f>
        <v>WI</v>
      </c>
      <c r="C138" t="str">
        <f>pv_only!C138</f>
        <v>we_energies</v>
      </c>
      <c r="D138">
        <f>pv_only!D138</f>
        <v>467842</v>
      </c>
      <c r="E138">
        <f>pv_only!E138</f>
        <v>42.95</v>
      </c>
      <c r="F138">
        <f>pv_only!F138</f>
        <v>-87.9</v>
      </c>
      <c r="G138">
        <f>pv_only!G138</f>
        <v>2020</v>
      </c>
      <c r="H138" t="str">
        <f>pv_only!H138</f>
        <v>tmy</v>
      </c>
      <c r="I138">
        <v>1382.4900006483001</v>
      </c>
      <c r="J138">
        <v>1383.4480860000001</v>
      </c>
      <c r="K138">
        <f t="shared" si="178"/>
        <v>0.95808535169999232</v>
      </c>
      <c r="N138">
        <v>8292.5516027999292</v>
      </c>
    </row>
    <row r="139" spans="1:16" x14ac:dyDescent="0.3">
      <c r="A139" t="str">
        <f>pv_only!A139</f>
        <v>wisconsin</v>
      </c>
      <c r="B139" t="str">
        <f>pv_only!B139</f>
        <v>WI</v>
      </c>
      <c r="C139" t="str">
        <f>pv_only!C139</f>
        <v>we_energies</v>
      </c>
      <c r="D139">
        <f>pv_only!D139</f>
        <v>467842</v>
      </c>
      <c r="E139">
        <f>pv_only!E139</f>
        <v>42.95</v>
      </c>
      <c r="F139">
        <f>pv_only!F139</f>
        <v>-87.9</v>
      </c>
      <c r="G139">
        <f>pv_only!G139</f>
        <v>2020</v>
      </c>
      <c r="H139" t="str">
        <f>pv_only!H139</f>
        <v>amy</v>
      </c>
      <c r="I139">
        <v>1381.2887357111699</v>
      </c>
      <c r="J139">
        <v>1381.9242899999999</v>
      </c>
      <c r="K139">
        <f t="shared" si="178"/>
        <v>0.63555428883000786</v>
      </c>
      <c r="L139">
        <f t="shared" ref="L139" si="191">(I139-I138)/I138</f>
        <v>-8.6891401497795533E-4</v>
      </c>
      <c r="M139">
        <f t="shared" ref="M139" si="192">(J139-J138)/J138</f>
        <v>-1.1014479078907589E-3</v>
      </c>
      <c r="N139">
        <v>8311.2323929285394</v>
      </c>
      <c r="P139">
        <f t="shared" ref="P139" si="193">(N139-N138)/N138</f>
        <v>2.2527191898694624E-3</v>
      </c>
    </row>
    <row r="140" spans="1:16" x14ac:dyDescent="0.3">
      <c r="A140" t="str">
        <f>pv_only!A140</f>
        <v>wisconsin</v>
      </c>
      <c r="B140" t="str">
        <f>pv_only!B140</f>
        <v>WI</v>
      </c>
      <c r="C140" t="str">
        <f>pv_only!C140</f>
        <v>we_energies</v>
      </c>
      <c r="D140">
        <f>pv_only!D140</f>
        <v>467842</v>
      </c>
      <c r="E140">
        <f>pv_only!E140</f>
        <v>42.95</v>
      </c>
      <c r="F140">
        <f>pv_only!F140</f>
        <v>-87.9</v>
      </c>
      <c r="G140">
        <f>pv_only!G140</f>
        <v>2021</v>
      </c>
      <c r="H140" t="str">
        <f>pv_only!H140</f>
        <v>tmy</v>
      </c>
      <c r="I140">
        <v>1388.46197105182</v>
      </c>
      <c r="J140">
        <v>1389.451474</v>
      </c>
      <c r="K140">
        <f t="shared" si="178"/>
        <v>0.98950294817996109</v>
      </c>
      <c r="N140">
        <v>8292.5516027999292</v>
      </c>
    </row>
    <row r="141" spans="1:16" x14ac:dyDescent="0.3">
      <c r="A141" t="str">
        <f>pv_only!A141</f>
        <v>wisconsin</v>
      </c>
      <c r="B141" t="str">
        <f>pv_only!B141</f>
        <v>WI</v>
      </c>
      <c r="C141" t="str">
        <f>pv_only!C141</f>
        <v>we_energies</v>
      </c>
      <c r="D141">
        <f>pv_only!D141</f>
        <v>467842</v>
      </c>
      <c r="E141">
        <f>pv_only!E141</f>
        <v>42.95</v>
      </c>
      <c r="F141">
        <f>pv_only!F141</f>
        <v>-87.9</v>
      </c>
      <c r="G141">
        <f>pv_only!G141</f>
        <v>2021</v>
      </c>
      <c r="H141" t="str">
        <f>pv_only!H141</f>
        <v>amy</v>
      </c>
      <c r="I141">
        <v>1409.68444865829</v>
      </c>
      <c r="J141">
        <v>1410.9046679999999</v>
      </c>
      <c r="K141">
        <f t="shared" si="178"/>
        <v>1.2202193417099352</v>
      </c>
      <c r="L141">
        <f t="shared" ref="L141" si="194">(I141-I140)/I140</f>
        <v>1.5284882156616088E-2</v>
      </c>
      <c r="M141">
        <f t="shared" ref="M141" si="195">(J141-J140)/J140</f>
        <v>1.5440045515400231E-2</v>
      </c>
      <c r="N141">
        <v>8448.4239579038695</v>
      </c>
      <c r="P141">
        <f t="shared" ref="P141" si="196">(N141-N140)/N140</f>
        <v>1.8796669899685745E-2</v>
      </c>
    </row>
    <row r="142" spans="1:16" x14ac:dyDescent="0.3">
      <c r="A142" t="str">
        <f>pv_only!A142</f>
        <v>wisconsin</v>
      </c>
      <c r="B142" t="str">
        <f>pv_only!B142</f>
        <v>WI</v>
      </c>
      <c r="C142" t="str">
        <f>pv_only!C142</f>
        <v>we_energies</v>
      </c>
      <c r="D142">
        <f>pv_only!D142</f>
        <v>467842</v>
      </c>
      <c r="E142">
        <f>pv_only!E142</f>
        <v>42.95</v>
      </c>
      <c r="F142">
        <f>pv_only!F142</f>
        <v>-87.9</v>
      </c>
      <c r="G142">
        <f>pv_only!G142</f>
        <v>2022</v>
      </c>
      <c r="H142" t="str">
        <f>pv_only!H142</f>
        <v>tmy</v>
      </c>
      <c r="I142">
        <v>1389.3924131060601</v>
      </c>
      <c r="J142">
        <v>1390.1183470000001</v>
      </c>
      <c r="K142">
        <f t="shared" si="178"/>
        <v>0.72593389394000951</v>
      </c>
      <c r="N142">
        <v>8292.5516027999292</v>
      </c>
    </row>
    <row r="143" spans="1:16" x14ac:dyDescent="0.3">
      <c r="A143" t="str">
        <f>pv_only!A143</f>
        <v>wisconsin</v>
      </c>
      <c r="B143" t="str">
        <f>pv_only!B143</f>
        <v>WI</v>
      </c>
      <c r="C143" t="str">
        <f>pv_only!C143</f>
        <v>we_energies</v>
      </c>
      <c r="D143">
        <f>pv_only!D143</f>
        <v>467842</v>
      </c>
      <c r="E143">
        <f>pv_only!E143</f>
        <v>42.95</v>
      </c>
      <c r="F143">
        <f>pv_only!F143</f>
        <v>-87.9</v>
      </c>
      <c r="G143">
        <f>pv_only!G143</f>
        <v>2022</v>
      </c>
      <c r="H143" t="str">
        <f>pv_only!H143</f>
        <v>amy</v>
      </c>
      <c r="I143">
        <v>1361.79495169445</v>
      </c>
      <c r="J143">
        <v>1362.690245</v>
      </c>
      <c r="K143">
        <f t="shared" si="178"/>
        <v>0.89529330555001252</v>
      </c>
      <c r="L143">
        <f t="shared" ref="L143" si="197">(I143-I142)/I142</f>
        <v>-1.9862971145721532E-2</v>
      </c>
      <c r="M143">
        <f t="shared" ref="M143" si="198">(J143-J142)/J142</f>
        <v>-1.9730767570395991E-2</v>
      </c>
      <c r="N143">
        <v>7999.7489631912404</v>
      </c>
      <c r="P143">
        <f t="shared" ref="P143" si="199">(N143-N142)/N142</f>
        <v>-3.5309112759675305E-2</v>
      </c>
    </row>
    <row r="144" spans="1:16" x14ac:dyDescent="0.3">
      <c r="A144" t="str">
        <f>pv_only!A144</f>
        <v>wisconsin</v>
      </c>
      <c r="B144" t="str">
        <f>pv_only!B144</f>
        <v>WI</v>
      </c>
      <c r="C144" t="str">
        <f>pv_only!C144</f>
        <v>we_energies</v>
      </c>
      <c r="D144">
        <f>pv_only!D144</f>
        <v>467842</v>
      </c>
      <c r="E144">
        <f>pv_only!E144</f>
        <v>42.95</v>
      </c>
      <c r="F144">
        <f>pv_only!F144</f>
        <v>-87.9</v>
      </c>
      <c r="G144">
        <f>pv_only!G144</f>
        <v>2023</v>
      </c>
      <c r="H144" t="str">
        <f>pv_only!H144</f>
        <v>tmy</v>
      </c>
      <c r="I144">
        <v>1386.60471295208</v>
      </c>
      <c r="J144">
        <v>1387.0006519999999</v>
      </c>
      <c r="K144">
        <f t="shared" si="178"/>
        <v>0.39593904791991008</v>
      </c>
      <c r="N144">
        <v>8292.5516027999292</v>
      </c>
    </row>
    <row r="145" spans="1:16" x14ac:dyDescent="0.3">
      <c r="A145" t="str">
        <f>pv_only!A145</f>
        <v>wisconsin</v>
      </c>
      <c r="B145" t="str">
        <f>pv_only!B145</f>
        <v>WI</v>
      </c>
      <c r="C145" t="str">
        <f>pv_only!C145</f>
        <v>we_energies</v>
      </c>
      <c r="D145">
        <f>pv_only!D145</f>
        <v>467842</v>
      </c>
      <c r="E145">
        <f>pv_only!E145</f>
        <v>42.95</v>
      </c>
      <c r="F145">
        <f>pv_only!F145</f>
        <v>-87.9</v>
      </c>
      <c r="G145">
        <f>pv_only!G145</f>
        <v>2023</v>
      </c>
      <c r="H145" t="str">
        <f>pv_only!H145</f>
        <v>amy</v>
      </c>
      <c r="I145">
        <v>1353.03356227319</v>
      </c>
      <c r="J145">
        <v>1353.759861</v>
      </c>
      <c r="K145">
        <f t="shared" si="178"/>
        <v>0.72629872681000052</v>
      </c>
      <c r="L145">
        <f t="shared" ref="L145:M145" si="200">(I145-I144)/I144</f>
        <v>-2.4211046136874213E-2</v>
      </c>
      <c r="M145">
        <f t="shared" si="200"/>
        <v>-2.396595196409464E-2</v>
      </c>
      <c r="N145">
        <v>8143.4266222157603</v>
      </c>
      <c r="P145">
        <f t="shared" ref="P145" si="201">(N145-N144)/N144</f>
        <v>-1.7983003028141278E-2</v>
      </c>
    </row>
    <row r="146" spans="1:16" x14ac:dyDescent="0.3">
      <c r="A146">
        <f>pv_only!A146</f>
        <v>0</v>
      </c>
      <c r="B146">
        <f>pv_only!B146</f>
        <v>0</v>
      </c>
      <c r="C146">
        <f>pv_only!C146</f>
        <v>0</v>
      </c>
      <c r="D146">
        <f>pv_only!D146</f>
        <v>0</v>
      </c>
      <c r="E146">
        <f>pv_only!E146</f>
        <v>0</v>
      </c>
      <c r="F146">
        <f>pv_only!F146</f>
        <v>0</v>
      </c>
      <c r="G146">
        <f>pv_only!G146</f>
        <v>0</v>
      </c>
      <c r="H146">
        <f>pv_only!H146</f>
        <v>0</v>
      </c>
    </row>
    <row r="147" spans="1:16" x14ac:dyDescent="0.3">
      <c r="A147">
        <f>pv_only!A147</f>
        <v>0</v>
      </c>
      <c r="B147">
        <f>pv_only!B147</f>
        <v>0</v>
      </c>
      <c r="C147">
        <f>pv_only!C147</f>
        <v>0</v>
      </c>
      <c r="D147">
        <f>pv_only!D147</f>
        <v>0</v>
      </c>
      <c r="E147">
        <f>pv_only!E147</f>
        <v>0</v>
      </c>
      <c r="F147">
        <f>pv_only!F147</f>
        <v>0</v>
      </c>
      <c r="G147">
        <f>pv_only!G147</f>
        <v>0</v>
      </c>
      <c r="H147">
        <f>pv_only!H147</f>
        <v>0</v>
      </c>
      <c r="L147">
        <f>AVERAGE(L1:L145)</f>
        <v>-1.5477116783716377E-3</v>
      </c>
      <c r="M147">
        <f>AVERAGE(M1:M145)</f>
        <v>5.0536318266053183E-3</v>
      </c>
    </row>
    <row r="148" spans="1:16" x14ac:dyDescent="0.3">
      <c r="A148">
        <f>pv_only!A148</f>
        <v>0</v>
      </c>
      <c r="B148">
        <f>pv_only!B148</f>
        <v>0</v>
      </c>
      <c r="C148">
        <f>pv_only!C148</f>
        <v>0</v>
      </c>
      <c r="D148">
        <f>pv_only!D148</f>
        <v>0</v>
      </c>
      <c r="E148">
        <f>pv_only!E148</f>
        <v>0</v>
      </c>
      <c r="F148">
        <f>pv_only!F148</f>
        <v>0</v>
      </c>
      <c r="G148">
        <f>pv_only!G148</f>
        <v>0</v>
      </c>
      <c r="H148">
        <f>pv_only!H148</f>
        <v>0</v>
      </c>
    </row>
    <row r="149" spans="1:16" x14ac:dyDescent="0.3">
      <c r="A149">
        <f>pv_only!A149</f>
        <v>0</v>
      </c>
      <c r="B149">
        <f>pv_only!B149</f>
        <v>0</v>
      </c>
      <c r="C149">
        <f>pv_only!C149</f>
        <v>0</v>
      </c>
      <c r="D149">
        <f>pv_only!D149</f>
        <v>0</v>
      </c>
      <c r="E149">
        <f>pv_only!E149</f>
        <v>0</v>
      </c>
      <c r="F149">
        <f>pv_only!F149</f>
        <v>0</v>
      </c>
      <c r="G149">
        <f>pv_only!G149</f>
        <v>0</v>
      </c>
      <c r="H149">
        <f>pv_only!H149</f>
        <v>0</v>
      </c>
    </row>
    <row r="150" spans="1:16" x14ac:dyDescent="0.3">
      <c r="A150">
        <f>pv_only!A150</f>
        <v>0</v>
      </c>
      <c r="B150">
        <f>pv_only!B150</f>
        <v>0</v>
      </c>
      <c r="C150">
        <f>pv_only!C150</f>
        <v>0</v>
      </c>
      <c r="D150">
        <f>pv_only!D150</f>
        <v>0</v>
      </c>
      <c r="E150">
        <f>pv_only!E150</f>
        <v>0</v>
      </c>
      <c r="F150">
        <f>pv_only!F150</f>
        <v>0</v>
      </c>
      <c r="G150">
        <f>pv_only!G150</f>
        <v>0</v>
      </c>
      <c r="H150">
        <f>pv_only!H150</f>
        <v>0</v>
      </c>
    </row>
    <row r="151" spans="1:16" x14ac:dyDescent="0.3">
      <c r="A151">
        <f>pv_only!A151</f>
        <v>0</v>
      </c>
      <c r="B151">
        <f>pv_only!B151</f>
        <v>0</v>
      </c>
      <c r="C151">
        <f>pv_only!C151</f>
        <v>0</v>
      </c>
      <c r="D151">
        <f>pv_only!D151</f>
        <v>0</v>
      </c>
      <c r="E151">
        <f>pv_only!E151</f>
        <v>0</v>
      </c>
      <c r="F151">
        <f>pv_only!F151</f>
        <v>0</v>
      </c>
      <c r="G151">
        <f>pv_only!G151</f>
        <v>0</v>
      </c>
      <c r="H151">
        <f>pv_only!H151</f>
        <v>0</v>
      </c>
    </row>
    <row r="152" spans="1:16" x14ac:dyDescent="0.3">
      <c r="A152">
        <f>pv_only!A152</f>
        <v>0</v>
      </c>
      <c r="B152">
        <f>pv_only!B152</f>
        <v>0</v>
      </c>
      <c r="C152">
        <f>pv_only!C152</f>
        <v>0</v>
      </c>
      <c r="D152">
        <f>pv_only!D152</f>
        <v>0</v>
      </c>
      <c r="E152">
        <f>pv_only!E152</f>
        <v>0</v>
      </c>
      <c r="F152">
        <f>pv_only!F152</f>
        <v>0</v>
      </c>
      <c r="G152">
        <f>pv_only!G152</f>
        <v>0</v>
      </c>
      <c r="H152">
        <f>pv_only!H152</f>
        <v>0</v>
      </c>
    </row>
    <row r="153" spans="1:16" x14ac:dyDescent="0.3">
      <c r="A153">
        <f>pv_only!A153</f>
        <v>0</v>
      </c>
      <c r="B153">
        <f>pv_only!B153</f>
        <v>0</v>
      </c>
      <c r="C153">
        <f>pv_only!C153</f>
        <v>0</v>
      </c>
      <c r="D153">
        <f>pv_only!D153</f>
        <v>0</v>
      </c>
      <c r="E153">
        <f>pv_only!E153</f>
        <v>0</v>
      </c>
      <c r="F153">
        <f>pv_only!F153</f>
        <v>0</v>
      </c>
      <c r="G153">
        <f>pv_only!G153</f>
        <v>0</v>
      </c>
      <c r="H153">
        <f>pv_only!H153</f>
        <v>0</v>
      </c>
    </row>
    <row r="154" spans="1:16" x14ac:dyDescent="0.3">
      <c r="A154">
        <f>pv_only!A154</f>
        <v>0</v>
      </c>
      <c r="B154">
        <f>pv_only!B154</f>
        <v>0</v>
      </c>
      <c r="C154">
        <f>pv_only!C154</f>
        <v>0</v>
      </c>
      <c r="D154">
        <f>pv_only!D154</f>
        <v>0</v>
      </c>
      <c r="E154">
        <f>pv_only!E154</f>
        <v>0</v>
      </c>
      <c r="F154">
        <f>pv_only!F154</f>
        <v>0</v>
      </c>
      <c r="G154">
        <f>pv_only!G154</f>
        <v>0</v>
      </c>
      <c r="H154">
        <f>pv_only!H154</f>
        <v>0</v>
      </c>
    </row>
    <row r="155" spans="1:16" x14ac:dyDescent="0.3">
      <c r="A155">
        <f>pv_only!A155</f>
        <v>0</v>
      </c>
      <c r="B155">
        <f>pv_only!B155</f>
        <v>0</v>
      </c>
      <c r="C155">
        <f>pv_only!C155</f>
        <v>0</v>
      </c>
      <c r="D155">
        <f>pv_only!D155</f>
        <v>0</v>
      </c>
      <c r="E155">
        <f>pv_only!E155</f>
        <v>0</v>
      </c>
      <c r="F155">
        <f>pv_only!F155</f>
        <v>0</v>
      </c>
      <c r="G155">
        <f>pv_only!G155</f>
        <v>0</v>
      </c>
      <c r="H155">
        <f>pv_only!H155</f>
        <v>0</v>
      </c>
    </row>
    <row r="156" spans="1:16" x14ac:dyDescent="0.3">
      <c r="A156">
        <f>pv_only!A156</f>
        <v>0</v>
      </c>
      <c r="B156">
        <f>pv_only!B156</f>
        <v>0</v>
      </c>
      <c r="C156">
        <f>pv_only!C156</f>
        <v>0</v>
      </c>
      <c r="D156">
        <f>pv_only!D156</f>
        <v>0</v>
      </c>
      <c r="E156">
        <f>pv_only!E156</f>
        <v>0</v>
      </c>
      <c r="F156">
        <f>pv_only!F156</f>
        <v>0</v>
      </c>
      <c r="G156">
        <f>pv_only!G156</f>
        <v>0</v>
      </c>
      <c r="H156">
        <f>pv_only!H156</f>
        <v>0</v>
      </c>
    </row>
    <row r="157" spans="1:16" x14ac:dyDescent="0.3">
      <c r="A157">
        <f>pv_only!A157</f>
        <v>0</v>
      </c>
      <c r="B157">
        <f>pv_only!B157</f>
        <v>0</v>
      </c>
      <c r="C157">
        <f>pv_only!C157</f>
        <v>0</v>
      </c>
      <c r="D157">
        <f>pv_only!D157</f>
        <v>0</v>
      </c>
      <c r="E157">
        <f>pv_only!E157</f>
        <v>0</v>
      </c>
      <c r="F157">
        <f>pv_only!F157</f>
        <v>0</v>
      </c>
      <c r="G157">
        <f>pv_only!G157</f>
        <v>0</v>
      </c>
      <c r="H157">
        <f>pv_only!H157</f>
        <v>0</v>
      </c>
    </row>
    <row r="158" spans="1:16" x14ac:dyDescent="0.3">
      <c r="A158">
        <f>pv_only!A158</f>
        <v>0</v>
      </c>
      <c r="B158">
        <f>pv_only!B158</f>
        <v>0</v>
      </c>
      <c r="C158">
        <f>pv_only!C158</f>
        <v>0</v>
      </c>
      <c r="D158">
        <f>pv_only!D158</f>
        <v>0</v>
      </c>
      <c r="E158">
        <f>pv_only!E158</f>
        <v>0</v>
      </c>
      <c r="F158">
        <f>pv_only!F158</f>
        <v>0</v>
      </c>
      <c r="G158">
        <f>pv_only!G158</f>
        <v>0</v>
      </c>
      <c r="H158">
        <f>pv_only!H158</f>
        <v>0</v>
      </c>
    </row>
    <row r="159" spans="1:16" x14ac:dyDescent="0.3">
      <c r="A159">
        <f>pv_only!A159</f>
        <v>0</v>
      </c>
      <c r="B159">
        <f>pv_only!B159</f>
        <v>0</v>
      </c>
      <c r="C159">
        <f>pv_only!C159</f>
        <v>0</v>
      </c>
      <c r="D159">
        <f>pv_only!D159</f>
        <v>0</v>
      </c>
      <c r="E159">
        <f>pv_only!E159</f>
        <v>0</v>
      </c>
      <c r="F159">
        <f>pv_only!F159</f>
        <v>0</v>
      </c>
      <c r="G159">
        <f>pv_only!G159</f>
        <v>0</v>
      </c>
      <c r="H159">
        <f>pv_only!H159</f>
        <v>0</v>
      </c>
    </row>
    <row r="160" spans="1:16" x14ac:dyDescent="0.3">
      <c r="A160">
        <f>pv_only!A160</f>
        <v>0</v>
      </c>
      <c r="B160">
        <f>pv_only!B160</f>
        <v>0</v>
      </c>
      <c r="C160">
        <f>pv_only!C160</f>
        <v>0</v>
      </c>
      <c r="D160">
        <f>pv_only!D160</f>
        <v>0</v>
      </c>
      <c r="E160">
        <f>pv_only!E160</f>
        <v>0</v>
      </c>
      <c r="F160">
        <f>pv_only!F160</f>
        <v>0</v>
      </c>
      <c r="G160">
        <f>pv_only!G160</f>
        <v>0</v>
      </c>
      <c r="H160">
        <f>pv_only!H160</f>
        <v>0</v>
      </c>
    </row>
    <row r="161" spans="1:8" x14ac:dyDescent="0.3">
      <c r="A161">
        <f>pv_only!A161</f>
        <v>0</v>
      </c>
      <c r="B161">
        <f>pv_only!B161</f>
        <v>0</v>
      </c>
      <c r="C161">
        <f>pv_only!C161</f>
        <v>0</v>
      </c>
      <c r="D161">
        <f>pv_only!D161</f>
        <v>0</v>
      </c>
      <c r="E161">
        <f>pv_only!E161</f>
        <v>0</v>
      </c>
      <c r="F161">
        <f>pv_only!F161</f>
        <v>0</v>
      </c>
      <c r="G161">
        <f>pv_only!G161</f>
        <v>0</v>
      </c>
      <c r="H161">
        <f>pv_only!H161</f>
        <v>0</v>
      </c>
    </row>
    <row r="162" spans="1:8" x14ac:dyDescent="0.3">
      <c r="A162">
        <f>pv_only!A162</f>
        <v>0</v>
      </c>
      <c r="B162">
        <f>pv_only!B162</f>
        <v>0</v>
      </c>
      <c r="C162">
        <f>pv_only!C162</f>
        <v>0</v>
      </c>
      <c r="D162">
        <f>pv_only!D162</f>
        <v>0</v>
      </c>
      <c r="E162">
        <f>pv_only!E162</f>
        <v>0</v>
      </c>
      <c r="F162">
        <f>pv_only!F162</f>
        <v>0</v>
      </c>
      <c r="G162">
        <f>pv_only!G162</f>
        <v>0</v>
      </c>
      <c r="H162">
        <f>pv_only!H162</f>
        <v>0</v>
      </c>
    </row>
    <row r="163" spans="1:8" x14ac:dyDescent="0.3">
      <c r="A163">
        <f>pv_only!A163</f>
        <v>0</v>
      </c>
      <c r="B163">
        <f>pv_only!B163</f>
        <v>0</v>
      </c>
      <c r="C163">
        <f>pv_only!C163</f>
        <v>0</v>
      </c>
      <c r="D163">
        <f>pv_only!D163</f>
        <v>0</v>
      </c>
      <c r="E163">
        <f>pv_only!E163</f>
        <v>0</v>
      </c>
      <c r="F163">
        <f>pv_only!F163</f>
        <v>0</v>
      </c>
      <c r="G163">
        <f>pv_only!G163</f>
        <v>0</v>
      </c>
      <c r="H163">
        <f>pv_only!H163</f>
        <v>0</v>
      </c>
    </row>
    <row r="164" spans="1:8" x14ac:dyDescent="0.3">
      <c r="A164">
        <f>pv_only!A164</f>
        <v>0</v>
      </c>
      <c r="B164">
        <f>pv_only!B164</f>
        <v>0</v>
      </c>
      <c r="C164">
        <f>pv_only!C164</f>
        <v>0</v>
      </c>
      <c r="D164">
        <f>pv_only!D164</f>
        <v>0</v>
      </c>
      <c r="E164">
        <f>pv_only!E164</f>
        <v>0</v>
      </c>
      <c r="F164">
        <f>pv_only!F164</f>
        <v>0</v>
      </c>
      <c r="G164">
        <f>pv_only!G164</f>
        <v>0</v>
      </c>
      <c r="H164">
        <f>pv_only!H164</f>
        <v>0</v>
      </c>
    </row>
    <row r="165" spans="1:8" x14ac:dyDescent="0.3">
      <c r="A165">
        <f>pv_only!A165</f>
        <v>0</v>
      </c>
      <c r="B165">
        <f>pv_only!B165</f>
        <v>0</v>
      </c>
      <c r="C165">
        <f>pv_only!C165</f>
        <v>0</v>
      </c>
      <c r="D165">
        <f>pv_only!D165</f>
        <v>0</v>
      </c>
      <c r="E165">
        <f>pv_only!E165</f>
        <v>0</v>
      </c>
      <c r="F165">
        <f>pv_only!F165</f>
        <v>0</v>
      </c>
      <c r="G165">
        <f>pv_only!G165</f>
        <v>0</v>
      </c>
      <c r="H165">
        <f>pv_only!H165</f>
        <v>0</v>
      </c>
    </row>
    <row r="166" spans="1:8" x14ac:dyDescent="0.3">
      <c r="A166">
        <f>pv_only!A166</f>
        <v>0</v>
      </c>
      <c r="B166">
        <f>pv_only!B166</f>
        <v>0</v>
      </c>
      <c r="C166">
        <f>pv_only!C166</f>
        <v>0</v>
      </c>
      <c r="D166">
        <f>pv_only!D166</f>
        <v>0</v>
      </c>
      <c r="E166">
        <f>pv_only!E166</f>
        <v>0</v>
      </c>
      <c r="F166">
        <f>pv_only!F166</f>
        <v>0</v>
      </c>
      <c r="G166">
        <f>pv_only!G166</f>
        <v>0</v>
      </c>
      <c r="H166">
        <f>pv_only!H166</f>
        <v>0</v>
      </c>
    </row>
    <row r="167" spans="1:8" x14ac:dyDescent="0.3">
      <c r="A167">
        <f>pv_only!A167</f>
        <v>0</v>
      </c>
      <c r="B167">
        <f>pv_only!B167</f>
        <v>0</v>
      </c>
      <c r="C167">
        <f>pv_only!C167</f>
        <v>0</v>
      </c>
      <c r="D167">
        <f>pv_only!D167</f>
        <v>0</v>
      </c>
      <c r="E167">
        <f>pv_only!E167</f>
        <v>0</v>
      </c>
      <c r="F167">
        <f>pv_only!F167</f>
        <v>0</v>
      </c>
      <c r="G167">
        <f>pv_only!G167</f>
        <v>0</v>
      </c>
      <c r="H167">
        <f>pv_only!H167</f>
        <v>0</v>
      </c>
    </row>
    <row r="168" spans="1:8" x14ac:dyDescent="0.3">
      <c r="A168">
        <f>pv_only!A168</f>
        <v>0</v>
      </c>
      <c r="B168">
        <f>pv_only!B168</f>
        <v>0</v>
      </c>
      <c r="C168">
        <f>pv_only!C168</f>
        <v>0</v>
      </c>
      <c r="D168">
        <f>pv_only!D168</f>
        <v>0</v>
      </c>
      <c r="E168">
        <f>pv_only!E168</f>
        <v>0</v>
      </c>
      <c r="F168">
        <f>pv_only!F168</f>
        <v>0</v>
      </c>
      <c r="G168">
        <f>pv_only!G168</f>
        <v>0</v>
      </c>
      <c r="H168">
        <f>pv_only!H168</f>
        <v>0</v>
      </c>
    </row>
    <row r="169" spans="1:8" x14ac:dyDescent="0.3">
      <c r="A169">
        <f>pv_only!A169</f>
        <v>0</v>
      </c>
      <c r="B169">
        <f>pv_only!B169</f>
        <v>0</v>
      </c>
      <c r="C169">
        <f>pv_only!C169</f>
        <v>0</v>
      </c>
      <c r="D169">
        <f>pv_only!D169</f>
        <v>0</v>
      </c>
      <c r="E169">
        <f>pv_only!E169</f>
        <v>0</v>
      </c>
      <c r="F169">
        <f>pv_only!F169</f>
        <v>0</v>
      </c>
      <c r="G169">
        <f>pv_only!G169</f>
        <v>0</v>
      </c>
      <c r="H169">
        <f>pv_only!H169</f>
        <v>0</v>
      </c>
    </row>
    <row r="170" spans="1:8" x14ac:dyDescent="0.3">
      <c r="A170">
        <f>pv_only!A170</f>
        <v>0</v>
      </c>
      <c r="B170">
        <f>pv_only!B170</f>
        <v>0</v>
      </c>
      <c r="C170">
        <f>pv_only!C170</f>
        <v>0</v>
      </c>
      <c r="D170">
        <f>pv_only!D170</f>
        <v>0</v>
      </c>
      <c r="E170">
        <f>pv_only!E170</f>
        <v>0</v>
      </c>
      <c r="F170">
        <f>pv_only!F170</f>
        <v>0</v>
      </c>
      <c r="G170">
        <f>pv_only!G170</f>
        <v>0</v>
      </c>
      <c r="H170">
        <f>pv_only!H170</f>
        <v>0</v>
      </c>
    </row>
  </sheetData>
  <autoFilter ref="A1:M170" xr:uid="{424CEAEF-A0A7-4E69-B84C-D4AEF19BE14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2112-DF10-494B-BDB5-3F3F08D81781}">
  <dimension ref="A1:M73"/>
  <sheetViews>
    <sheetView workbookViewId="0">
      <selection activeCell="L1" sqref="L1:L104850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</v>
      </c>
      <c r="J1" t="s">
        <v>49</v>
      </c>
      <c r="L1" t="s">
        <v>9</v>
      </c>
      <c r="M1" t="s">
        <v>51</v>
      </c>
    </row>
    <row r="2" spans="1:13" x14ac:dyDescent="0.3">
      <c r="A2" t="s">
        <v>12</v>
      </c>
      <c r="B2" t="s">
        <v>13</v>
      </c>
      <c r="C2" t="s">
        <v>14</v>
      </c>
      <c r="D2">
        <v>46496</v>
      </c>
      <c r="E2">
        <v>33.56</v>
      </c>
      <c r="F2">
        <v>-86.75</v>
      </c>
      <c r="G2">
        <v>2018</v>
      </c>
      <c r="H2" t="s">
        <v>15</v>
      </c>
      <c r="I2">
        <v>823.29276635119197</v>
      </c>
      <c r="J2">
        <v>994.1743596</v>
      </c>
      <c r="K2">
        <v>170.88159324880803</v>
      </c>
      <c r="L2">
        <v>9041.8682375594399</v>
      </c>
    </row>
    <row r="3" spans="1:13" x14ac:dyDescent="0.3">
      <c r="A3" t="s">
        <v>12</v>
      </c>
      <c r="B3" t="s">
        <v>13</v>
      </c>
      <c r="C3" t="s">
        <v>14</v>
      </c>
      <c r="D3">
        <v>46496</v>
      </c>
      <c r="E3">
        <v>33.56</v>
      </c>
      <c r="F3">
        <v>-86.75</v>
      </c>
      <c r="G3">
        <v>2019</v>
      </c>
      <c r="H3" t="s">
        <v>15</v>
      </c>
      <c r="I3">
        <v>830.354460004413</v>
      </c>
      <c r="J3">
        <v>998.44838830000003</v>
      </c>
      <c r="K3">
        <v>168.09392829558703</v>
      </c>
      <c r="L3">
        <v>9041.8682375594399</v>
      </c>
    </row>
    <row r="4" spans="1:13" x14ac:dyDescent="0.3">
      <c r="A4" t="s">
        <v>12</v>
      </c>
      <c r="B4" t="s">
        <v>13</v>
      </c>
      <c r="C4" t="s">
        <v>14</v>
      </c>
      <c r="D4">
        <v>46496</v>
      </c>
      <c r="E4">
        <v>33.56</v>
      </c>
      <c r="F4">
        <v>-86.75</v>
      </c>
      <c r="G4">
        <v>2020</v>
      </c>
      <c r="H4" t="s">
        <v>15</v>
      </c>
      <c r="I4">
        <v>784.220132412216</v>
      </c>
      <c r="J4">
        <v>979.2576914</v>
      </c>
      <c r="K4">
        <v>195.037558987784</v>
      </c>
      <c r="L4">
        <v>9041.8682375594399</v>
      </c>
    </row>
    <row r="5" spans="1:13" x14ac:dyDescent="0.3">
      <c r="A5" t="s">
        <v>12</v>
      </c>
      <c r="B5" t="s">
        <v>13</v>
      </c>
      <c r="C5" t="s">
        <v>14</v>
      </c>
      <c r="D5">
        <v>46496</v>
      </c>
      <c r="E5">
        <v>33.56</v>
      </c>
      <c r="F5">
        <v>-86.75</v>
      </c>
      <c r="G5">
        <v>2021</v>
      </c>
      <c r="H5" t="s">
        <v>15</v>
      </c>
      <c r="I5">
        <v>777.193068218147</v>
      </c>
      <c r="J5">
        <v>993.54796150000004</v>
      </c>
      <c r="K5">
        <v>216.35489328185304</v>
      </c>
      <c r="L5">
        <v>9041.8682375594399</v>
      </c>
    </row>
    <row r="6" spans="1:13" x14ac:dyDescent="0.3">
      <c r="A6" t="s">
        <v>12</v>
      </c>
      <c r="B6" t="s">
        <v>13</v>
      </c>
      <c r="C6" t="s">
        <v>14</v>
      </c>
      <c r="D6">
        <v>46496</v>
      </c>
      <c r="E6">
        <v>33.56</v>
      </c>
      <c r="F6">
        <v>-86.75</v>
      </c>
      <c r="G6">
        <v>2022</v>
      </c>
      <c r="H6" t="s">
        <v>15</v>
      </c>
      <c r="I6">
        <v>820.241816402636</v>
      </c>
      <c r="J6">
        <v>1009.884715</v>
      </c>
      <c r="K6">
        <v>189.64289859736402</v>
      </c>
      <c r="L6">
        <v>9041.8682375594399</v>
      </c>
    </row>
    <row r="7" spans="1:13" x14ac:dyDescent="0.3">
      <c r="A7" t="s">
        <v>12</v>
      </c>
      <c r="B7" t="s">
        <v>13</v>
      </c>
      <c r="C7" t="s">
        <v>14</v>
      </c>
      <c r="D7">
        <v>46496</v>
      </c>
      <c r="E7">
        <v>33.56</v>
      </c>
      <c r="F7">
        <v>-86.75</v>
      </c>
      <c r="G7">
        <v>2023</v>
      </c>
      <c r="H7" t="s">
        <v>15</v>
      </c>
      <c r="I7">
        <v>810.03416444866502</v>
      </c>
      <c r="J7">
        <v>1003.416236</v>
      </c>
      <c r="K7">
        <v>193.382071551335</v>
      </c>
      <c r="L7">
        <v>9041.8682375594399</v>
      </c>
    </row>
    <row r="8" spans="1:13" x14ac:dyDescent="0.3">
      <c r="A8" t="s">
        <v>17</v>
      </c>
      <c r="B8" t="s">
        <v>18</v>
      </c>
      <c r="C8" t="s">
        <v>19</v>
      </c>
      <c r="D8">
        <v>112157</v>
      </c>
      <c r="E8">
        <v>35.14</v>
      </c>
      <c r="F8">
        <v>-111.67</v>
      </c>
      <c r="G8">
        <v>2018</v>
      </c>
      <c r="H8" t="s">
        <v>15</v>
      </c>
      <c r="I8">
        <v>924.93943197435703</v>
      </c>
      <c r="J8">
        <v>1117.0270109999999</v>
      </c>
      <c r="K8">
        <v>192.08757902564287</v>
      </c>
      <c r="L8">
        <v>11330.222374223</v>
      </c>
    </row>
    <row r="9" spans="1:13" x14ac:dyDescent="0.3">
      <c r="A9" t="s">
        <v>17</v>
      </c>
      <c r="B9" t="s">
        <v>18</v>
      </c>
      <c r="C9" t="s">
        <v>19</v>
      </c>
      <c r="D9">
        <v>112157</v>
      </c>
      <c r="E9">
        <v>35.14</v>
      </c>
      <c r="F9">
        <v>-111.67</v>
      </c>
      <c r="G9">
        <v>2019</v>
      </c>
      <c r="H9" t="s">
        <v>15</v>
      </c>
      <c r="I9">
        <v>922.69192092193805</v>
      </c>
      <c r="J9">
        <v>1187.0812089999999</v>
      </c>
      <c r="K9">
        <v>264.3892880780619</v>
      </c>
      <c r="L9">
        <v>11330.222374223</v>
      </c>
    </row>
    <row r="10" spans="1:13" x14ac:dyDescent="0.3">
      <c r="A10" t="s">
        <v>17</v>
      </c>
      <c r="B10" t="s">
        <v>18</v>
      </c>
      <c r="C10" t="s">
        <v>19</v>
      </c>
      <c r="D10">
        <v>112157</v>
      </c>
      <c r="E10">
        <v>35.14</v>
      </c>
      <c r="F10">
        <v>-111.67</v>
      </c>
      <c r="G10">
        <v>2020</v>
      </c>
      <c r="H10" t="s">
        <v>15</v>
      </c>
      <c r="I10">
        <v>901.69780008924897</v>
      </c>
      <c r="J10">
        <v>1089.0507660000001</v>
      </c>
      <c r="K10">
        <v>187.3529659107511</v>
      </c>
      <c r="L10">
        <v>11330.222374223</v>
      </c>
    </row>
    <row r="11" spans="1:13" x14ac:dyDescent="0.3">
      <c r="A11" t="s">
        <v>17</v>
      </c>
      <c r="B11" t="s">
        <v>18</v>
      </c>
      <c r="C11" t="s">
        <v>19</v>
      </c>
      <c r="D11">
        <v>112157</v>
      </c>
      <c r="E11">
        <v>35.14</v>
      </c>
      <c r="F11">
        <v>-111.67</v>
      </c>
      <c r="G11">
        <v>2021</v>
      </c>
      <c r="H11" t="s">
        <v>15</v>
      </c>
      <c r="I11">
        <v>907.62167450318395</v>
      </c>
      <c r="J11">
        <v>1202.092629</v>
      </c>
      <c r="K11">
        <v>294.47095449681603</v>
      </c>
      <c r="L11">
        <v>11330.222374223</v>
      </c>
    </row>
    <row r="12" spans="1:13" x14ac:dyDescent="0.3">
      <c r="A12" t="s">
        <v>17</v>
      </c>
      <c r="B12" t="s">
        <v>18</v>
      </c>
      <c r="C12" t="s">
        <v>19</v>
      </c>
      <c r="D12">
        <v>112157</v>
      </c>
      <c r="E12">
        <v>35.14</v>
      </c>
      <c r="F12">
        <v>-111.67</v>
      </c>
      <c r="G12">
        <v>2022</v>
      </c>
      <c r="H12" t="s">
        <v>15</v>
      </c>
      <c r="I12">
        <v>910.24800584934098</v>
      </c>
      <c r="J12">
        <v>1162.5620510000001</v>
      </c>
      <c r="K12">
        <v>252.31404515065913</v>
      </c>
      <c r="L12">
        <v>11330.222374223</v>
      </c>
    </row>
    <row r="13" spans="1:13" x14ac:dyDescent="0.3">
      <c r="A13" t="s">
        <v>17</v>
      </c>
      <c r="B13" t="s">
        <v>18</v>
      </c>
      <c r="C13" t="s">
        <v>19</v>
      </c>
      <c r="D13">
        <v>112157</v>
      </c>
      <c r="E13">
        <v>35.14</v>
      </c>
      <c r="F13">
        <v>-111.67</v>
      </c>
      <c r="G13">
        <v>2023</v>
      </c>
      <c r="H13" t="s">
        <v>15</v>
      </c>
      <c r="I13">
        <v>918.90437846834095</v>
      </c>
      <c r="J13">
        <v>1129.6572269999999</v>
      </c>
      <c r="K13">
        <v>210.75284853165897</v>
      </c>
      <c r="L13">
        <v>11330.222374223</v>
      </c>
    </row>
    <row r="14" spans="1:13" x14ac:dyDescent="0.3">
      <c r="A14" t="s">
        <v>20</v>
      </c>
      <c r="B14" t="s">
        <v>21</v>
      </c>
      <c r="C14" t="s">
        <v>22</v>
      </c>
      <c r="D14">
        <v>111549</v>
      </c>
      <c r="E14">
        <v>32.869999999999997</v>
      </c>
      <c r="F14">
        <v>-117.15</v>
      </c>
      <c r="G14">
        <v>2018</v>
      </c>
      <c r="H14" t="s">
        <v>15</v>
      </c>
      <c r="I14">
        <v>2784.0254644351198</v>
      </c>
      <c r="J14">
        <v>3767.4564919999998</v>
      </c>
      <c r="K14">
        <v>983.43102756487997</v>
      </c>
      <c r="L14">
        <v>11233.731410124399</v>
      </c>
    </row>
    <row r="15" spans="1:13" x14ac:dyDescent="0.3">
      <c r="A15" t="s">
        <v>20</v>
      </c>
      <c r="B15" t="s">
        <v>21</v>
      </c>
      <c r="C15" t="s">
        <v>22</v>
      </c>
      <c r="D15">
        <v>111549</v>
      </c>
      <c r="E15">
        <v>32.869999999999997</v>
      </c>
      <c r="F15">
        <v>-117.15</v>
      </c>
      <c r="G15">
        <v>2019</v>
      </c>
      <c r="H15" t="s">
        <v>15</v>
      </c>
      <c r="I15">
        <v>2685.5702567297499</v>
      </c>
      <c r="J15">
        <v>3638.7501440000001</v>
      </c>
      <c r="K15">
        <v>953.17988727025022</v>
      </c>
      <c r="L15">
        <v>11233.731410124399</v>
      </c>
    </row>
    <row r="16" spans="1:13" x14ac:dyDescent="0.3">
      <c r="A16" t="s">
        <v>20</v>
      </c>
      <c r="B16" t="s">
        <v>21</v>
      </c>
      <c r="C16" t="s">
        <v>22</v>
      </c>
      <c r="D16">
        <v>111549</v>
      </c>
      <c r="E16">
        <v>32.869999999999997</v>
      </c>
      <c r="F16">
        <v>-117.15</v>
      </c>
      <c r="G16">
        <v>2020</v>
      </c>
      <c r="H16" t="s">
        <v>15</v>
      </c>
      <c r="I16">
        <v>2872.3512931251298</v>
      </c>
      <c r="J16">
        <v>3810.938502</v>
      </c>
      <c r="K16">
        <v>938.58720887487016</v>
      </c>
      <c r="L16">
        <v>11233.731410124399</v>
      </c>
    </row>
    <row r="17" spans="1:12" x14ac:dyDescent="0.3">
      <c r="A17" t="s">
        <v>20</v>
      </c>
      <c r="B17" t="s">
        <v>21</v>
      </c>
      <c r="C17" t="s">
        <v>22</v>
      </c>
      <c r="D17">
        <v>111549</v>
      </c>
      <c r="E17">
        <v>32.869999999999997</v>
      </c>
      <c r="F17">
        <v>-117.15</v>
      </c>
      <c r="G17">
        <v>2021</v>
      </c>
      <c r="H17" t="s">
        <v>15</v>
      </c>
      <c r="I17">
        <v>2751.50901707921</v>
      </c>
      <c r="J17">
        <v>3732.3070429999998</v>
      </c>
      <c r="K17">
        <v>980.79802592078977</v>
      </c>
      <c r="L17">
        <v>11233.731410124399</v>
      </c>
    </row>
    <row r="18" spans="1:12" x14ac:dyDescent="0.3">
      <c r="A18" t="s">
        <v>20</v>
      </c>
      <c r="B18" t="s">
        <v>21</v>
      </c>
      <c r="C18" t="s">
        <v>22</v>
      </c>
      <c r="D18">
        <v>111549</v>
      </c>
      <c r="E18">
        <v>32.869999999999997</v>
      </c>
      <c r="F18">
        <v>-117.15</v>
      </c>
      <c r="G18">
        <v>2022</v>
      </c>
      <c r="H18" t="s">
        <v>15</v>
      </c>
      <c r="I18">
        <v>2906.8232366284901</v>
      </c>
      <c r="J18">
        <v>3867.316961</v>
      </c>
      <c r="K18">
        <v>960.49372437150987</v>
      </c>
      <c r="L18">
        <v>11233.731410124399</v>
      </c>
    </row>
    <row r="19" spans="1:12" x14ac:dyDescent="0.3">
      <c r="A19" t="s">
        <v>20</v>
      </c>
      <c r="B19" t="s">
        <v>21</v>
      </c>
      <c r="C19" t="s">
        <v>22</v>
      </c>
      <c r="D19">
        <v>111549</v>
      </c>
      <c r="E19">
        <v>32.869999999999997</v>
      </c>
      <c r="F19">
        <v>-117.15</v>
      </c>
      <c r="G19">
        <v>2023</v>
      </c>
      <c r="H19" t="s">
        <v>15</v>
      </c>
      <c r="I19">
        <v>2573.9640002183801</v>
      </c>
      <c r="J19">
        <v>3522.8180280000001</v>
      </c>
      <c r="K19">
        <v>948.85402778162006</v>
      </c>
      <c r="L19">
        <v>11233.731410124399</v>
      </c>
    </row>
    <row r="20" spans="1:12" x14ac:dyDescent="0.3">
      <c r="A20" t="s">
        <v>23</v>
      </c>
      <c r="B20" t="s">
        <v>24</v>
      </c>
      <c r="C20" t="s">
        <v>25</v>
      </c>
      <c r="D20">
        <v>126745</v>
      </c>
      <c r="E20">
        <v>39.81</v>
      </c>
      <c r="F20">
        <v>-105.14</v>
      </c>
      <c r="G20">
        <v>2018</v>
      </c>
      <c r="H20" t="s">
        <v>15</v>
      </c>
      <c r="I20">
        <v>1432.2930208712501</v>
      </c>
      <c r="J20">
        <v>1499.631748</v>
      </c>
      <c r="K20">
        <v>67.338727128749952</v>
      </c>
      <c r="L20">
        <v>9971.3266799887006</v>
      </c>
    </row>
    <row r="21" spans="1:12" x14ac:dyDescent="0.3">
      <c r="A21" t="s">
        <v>23</v>
      </c>
      <c r="B21" t="s">
        <v>24</v>
      </c>
      <c r="C21" t="s">
        <v>25</v>
      </c>
      <c r="D21">
        <v>126745</v>
      </c>
      <c r="E21">
        <v>39.81</v>
      </c>
      <c r="F21">
        <v>-105.14</v>
      </c>
      <c r="G21">
        <v>2019</v>
      </c>
      <c r="H21" t="s">
        <v>15</v>
      </c>
      <c r="I21">
        <v>1432.2930208712501</v>
      </c>
      <c r="J21">
        <v>1496.7335720000001</v>
      </c>
      <c r="K21">
        <v>64.44055112875003</v>
      </c>
      <c r="L21">
        <v>9971.3266799887006</v>
      </c>
    </row>
    <row r="22" spans="1:12" x14ac:dyDescent="0.3">
      <c r="A22" t="s">
        <v>23</v>
      </c>
      <c r="B22" t="s">
        <v>24</v>
      </c>
      <c r="C22" t="s">
        <v>25</v>
      </c>
      <c r="D22">
        <v>126745</v>
      </c>
      <c r="E22">
        <v>39.81</v>
      </c>
      <c r="F22">
        <v>-105.14</v>
      </c>
      <c r="G22">
        <v>2020</v>
      </c>
      <c r="H22" t="s">
        <v>15</v>
      </c>
      <c r="I22">
        <v>1432.2930208712501</v>
      </c>
      <c r="J22">
        <v>1499.3794869999999</v>
      </c>
      <c r="K22">
        <v>67.086466128749862</v>
      </c>
      <c r="L22">
        <v>9971.3266799887006</v>
      </c>
    </row>
    <row r="23" spans="1:12" x14ac:dyDescent="0.3">
      <c r="A23" t="s">
        <v>23</v>
      </c>
      <c r="B23" t="s">
        <v>24</v>
      </c>
      <c r="C23" t="s">
        <v>25</v>
      </c>
      <c r="D23">
        <v>126745</v>
      </c>
      <c r="E23">
        <v>39.81</v>
      </c>
      <c r="F23">
        <v>-105.14</v>
      </c>
      <c r="G23">
        <v>2021</v>
      </c>
      <c r="H23" t="s">
        <v>15</v>
      </c>
      <c r="I23">
        <v>1432.2930208712501</v>
      </c>
      <c r="J23">
        <v>1498.7832559999999</v>
      </c>
      <c r="K23">
        <v>66.490235128749873</v>
      </c>
      <c r="L23">
        <v>9971.3266799887006</v>
      </c>
    </row>
    <row r="24" spans="1:12" x14ac:dyDescent="0.3">
      <c r="A24" t="s">
        <v>23</v>
      </c>
      <c r="B24" t="s">
        <v>24</v>
      </c>
      <c r="C24" t="s">
        <v>25</v>
      </c>
      <c r="D24">
        <v>126745</v>
      </c>
      <c r="E24">
        <v>39.81</v>
      </c>
      <c r="F24">
        <v>-105.14</v>
      </c>
      <c r="G24">
        <v>2022</v>
      </c>
      <c r="H24" t="s">
        <v>15</v>
      </c>
      <c r="I24">
        <v>1432.2930208712501</v>
      </c>
      <c r="J24">
        <v>1498.48224</v>
      </c>
      <c r="K24">
        <v>66.189219128749983</v>
      </c>
      <c r="L24">
        <v>9971.3266799887006</v>
      </c>
    </row>
    <row r="25" spans="1:12" x14ac:dyDescent="0.3">
      <c r="A25" t="s">
        <v>23</v>
      </c>
      <c r="B25" t="s">
        <v>24</v>
      </c>
      <c r="C25" t="s">
        <v>25</v>
      </c>
      <c r="D25">
        <v>126745</v>
      </c>
      <c r="E25">
        <v>39.81</v>
      </c>
      <c r="F25">
        <v>-105.14</v>
      </c>
      <c r="G25">
        <v>2023</v>
      </c>
      <c r="H25" t="s">
        <v>15</v>
      </c>
      <c r="I25">
        <v>1432.2930208712501</v>
      </c>
      <c r="J25">
        <v>1496.417209</v>
      </c>
      <c r="K25">
        <v>64.124188128749893</v>
      </c>
      <c r="L25">
        <v>9971.3266799887006</v>
      </c>
    </row>
    <row r="26" spans="1:12" x14ac:dyDescent="0.3">
      <c r="A26" t="s">
        <v>26</v>
      </c>
      <c r="B26" t="s">
        <v>27</v>
      </c>
      <c r="C26" t="s">
        <v>28</v>
      </c>
      <c r="D26">
        <v>305</v>
      </c>
      <c r="E26">
        <v>41.88</v>
      </c>
      <c r="F26">
        <v>-71.02</v>
      </c>
      <c r="G26">
        <v>2018</v>
      </c>
      <c r="H26" t="s">
        <v>15</v>
      </c>
      <c r="I26">
        <v>3712.4558953790402</v>
      </c>
      <c r="J26">
        <v>3712.355313</v>
      </c>
      <c r="K26">
        <v>-0.10058237904013367</v>
      </c>
      <c r="L26">
        <v>8661.4478181212307</v>
      </c>
    </row>
    <row r="27" spans="1:12" x14ac:dyDescent="0.3">
      <c r="A27" t="s">
        <v>26</v>
      </c>
      <c r="B27" t="s">
        <v>27</v>
      </c>
      <c r="C27" t="s">
        <v>28</v>
      </c>
      <c r="D27">
        <v>305</v>
      </c>
      <c r="E27">
        <v>41.88</v>
      </c>
      <c r="F27">
        <v>-71.02</v>
      </c>
      <c r="G27">
        <v>2019</v>
      </c>
      <c r="H27" t="s">
        <v>15</v>
      </c>
      <c r="I27">
        <v>3701.3660112551802</v>
      </c>
      <c r="J27">
        <v>3701.7411029999998</v>
      </c>
      <c r="K27">
        <v>0.37509174481965601</v>
      </c>
      <c r="L27">
        <v>8661.4478181212307</v>
      </c>
    </row>
    <row r="28" spans="1:12" x14ac:dyDescent="0.3">
      <c r="A28" t="s">
        <v>26</v>
      </c>
      <c r="B28" t="s">
        <v>27</v>
      </c>
      <c r="C28" t="s">
        <v>28</v>
      </c>
      <c r="D28">
        <v>305</v>
      </c>
      <c r="E28">
        <v>41.88</v>
      </c>
      <c r="F28">
        <v>-71.02</v>
      </c>
      <c r="G28">
        <v>2020</v>
      </c>
      <c r="H28" t="s">
        <v>15</v>
      </c>
      <c r="I28">
        <v>3721.3652963785598</v>
      </c>
      <c r="J28">
        <v>3720.8014309999999</v>
      </c>
      <c r="K28">
        <v>-0.56386537855996721</v>
      </c>
      <c r="L28">
        <v>8661.4478181212307</v>
      </c>
    </row>
    <row r="29" spans="1:12" x14ac:dyDescent="0.3">
      <c r="A29" t="s">
        <v>26</v>
      </c>
      <c r="B29" t="s">
        <v>27</v>
      </c>
      <c r="C29" t="s">
        <v>28</v>
      </c>
      <c r="D29">
        <v>305</v>
      </c>
      <c r="E29">
        <v>41.88</v>
      </c>
      <c r="F29">
        <v>-71.02</v>
      </c>
      <c r="G29">
        <v>2021</v>
      </c>
      <c r="H29" t="s">
        <v>15</v>
      </c>
      <c r="I29">
        <v>3723.5105038557999</v>
      </c>
      <c r="J29">
        <v>3722.0833189999998</v>
      </c>
      <c r="K29">
        <v>-1.4271848558000784</v>
      </c>
      <c r="L29">
        <v>8661.4478181212307</v>
      </c>
    </row>
    <row r="30" spans="1:12" x14ac:dyDescent="0.3">
      <c r="A30" t="s">
        <v>26</v>
      </c>
      <c r="B30" t="s">
        <v>27</v>
      </c>
      <c r="C30" t="s">
        <v>28</v>
      </c>
      <c r="D30">
        <v>305</v>
      </c>
      <c r="E30">
        <v>41.88</v>
      </c>
      <c r="F30">
        <v>-71.02</v>
      </c>
      <c r="G30">
        <v>2022</v>
      </c>
      <c r="H30" t="s">
        <v>15</v>
      </c>
      <c r="I30">
        <v>3724.4702657642201</v>
      </c>
      <c r="J30">
        <v>3724.7958229999999</v>
      </c>
      <c r="K30">
        <v>0.32555723577979734</v>
      </c>
      <c r="L30">
        <v>8661.4478181212307</v>
      </c>
    </row>
    <row r="31" spans="1:12" x14ac:dyDescent="0.3">
      <c r="A31" t="s">
        <v>26</v>
      </c>
      <c r="B31" t="s">
        <v>27</v>
      </c>
      <c r="C31" t="s">
        <v>28</v>
      </c>
      <c r="D31">
        <v>305</v>
      </c>
      <c r="E31">
        <v>41.88</v>
      </c>
      <c r="F31">
        <v>-71.02</v>
      </c>
      <c r="G31">
        <v>2023</v>
      </c>
      <c r="H31" t="s">
        <v>15</v>
      </c>
      <c r="I31">
        <v>3711.5638549608898</v>
      </c>
      <c r="J31">
        <v>3710.5274720000002</v>
      </c>
      <c r="K31">
        <v>-1.0363829608895685</v>
      </c>
      <c r="L31">
        <v>8661.4478181212307</v>
      </c>
    </row>
    <row r="32" spans="1:12" x14ac:dyDescent="0.3">
      <c r="A32" t="s">
        <v>29</v>
      </c>
      <c r="B32" t="s">
        <v>30</v>
      </c>
      <c r="C32" t="s">
        <v>25</v>
      </c>
      <c r="D32">
        <v>442412</v>
      </c>
      <c r="E32">
        <v>44.85</v>
      </c>
      <c r="F32">
        <v>-93.03</v>
      </c>
      <c r="G32">
        <v>2018</v>
      </c>
      <c r="H32" t="s">
        <v>15</v>
      </c>
      <c r="I32">
        <v>1787.8769031122599</v>
      </c>
      <c r="J32">
        <v>1666.660302</v>
      </c>
      <c r="K32">
        <v>-121.21660111225992</v>
      </c>
      <c r="L32">
        <v>8445.3204160173009</v>
      </c>
    </row>
    <row r="33" spans="1:12" x14ac:dyDescent="0.3">
      <c r="A33" t="s">
        <v>29</v>
      </c>
      <c r="B33" t="s">
        <v>30</v>
      </c>
      <c r="C33" t="s">
        <v>25</v>
      </c>
      <c r="D33">
        <v>442412</v>
      </c>
      <c r="E33">
        <v>44.85</v>
      </c>
      <c r="F33">
        <v>-93.03</v>
      </c>
      <c r="G33">
        <v>2019</v>
      </c>
      <c r="H33" t="s">
        <v>15</v>
      </c>
      <c r="I33">
        <v>1787.8769029607699</v>
      </c>
      <c r="J33">
        <v>1674.749243</v>
      </c>
      <c r="K33">
        <v>-113.12765996076996</v>
      </c>
      <c r="L33">
        <v>8445.3204160173009</v>
      </c>
    </row>
    <row r="34" spans="1:12" x14ac:dyDescent="0.3">
      <c r="A34" t="s">
        <v>29</v>
      </c>
      <c r="B34" t="s">
        <v>30</v>
      </c>
      <c r="C34" t="s">
        <v>25</v>
      </c>
      <c r="D34">
        <v>442412</v>
      </c>
      <c r="E34">
        <v>44.85</v>
      </c>
      <c r="F34">
        <v>-93.03</v>
      </c>
      <c r="G34">
        <v>2020</v>
      </c>
      <c r="H34" t="s">
        <v>15</v>
      </c>
      <c r="I34">
        <v>1787.8769029423499</v>
      </c>
      <c r="J34">
        <v>1672.0418749999999</v>
      </c>
      <c r="K34">
        <v>-115.83502794235005</v>
      </c>
      <c r="L34">
        <v>8445.3204160173009</v>
      </c>
    </row>
    <row r="35" spans="1:12" x14ac:dyDescent="0.3">
      <c r="A35" t="s">
        <v>29</v>
      </c>
      <c r="B35" t="s">
        <v>30</v>
      </c>
      <c r="C35" t="s">
        <v>25</v>
      </c>
      <c r="D35">
        <v>442412</v>
      </c>
      <c r="E35">
        <v>44.85</v>
      </c>
      <c r="F35">
        <v>-93.03</v>
      </c>
      <c r="G35">
        <v>2021</v>
      </c>
      <c r="H35" t="s">
        <v>15</v>
      </c>
      <c r="I35">
        <v>1787.87690308263</v>
      </c>
      <c r="J35">
        <v>1716.6432119999999</v>
      </c>
      <c r="K35">
        <v>-71.233691082630003</v>
      </c>
      <c r="L35">
        <v>8445.3204160173009</v>
      </c>
    </row>
    <row r="36" spans="1:12" x14ac:dyDescent="0.3">
      <c r="A36" t="s">
        <v>29</v>
      </c>
      <c r="B36" t="s">
        <v>30</v>
      </c>
      <c r="C36" t="s">
        <v>25</v>
      </c>
      <c r="D36">
        <v>442412</v>
      </c>
      <c r="E36">
        <v>44.85</v>
      </c>
      <c r="F36">
        <v>-93.03</v>
      </c>
      <c r="G36">
        <v>2022</v>
      </c>
      <c r="H36" t="s">
        <v>15</v>
      </c>
      <c r="I36">
        <v>1787.87690301519</v>
      </c>
      <c r="J36">
        <v>1685.686852</v>
      </c>
      <c r="K36">
        <v>-102.19005101518997</v>
      </c>
      <c r="L36">
        <v>8445.3204160173009</v>
      </c>
    </row>
    <row r="37" spans="1:12" x14ac:dyDescent="0.3">
      <c r="A37" t="s">
        <v>29</v>
      </c>
      <c r="B37" t="s">
        <v>30</v>
      </c>
      <c r="C37" t="s">
        <v>25</v>
      </c>
      <c r="D37">
        <v>442412</v>
      </c>
      <c r="E37">
        <v>44.85</v>
      </c>
      <c r="F37">
        <v>-93.03</v>
      </c>
      <c r="G37">
        <v>2023</v>
      </c>
      <c r="H37" t="s">
        <v>15</v>
      </c>
      <c r="I37">
        <v>1787.87690314006</v>
      </c>
      <c r="J37">
        <v>1698.889068</v>
      </c>
      <c r="K37">
        <v>-88.987835140060042</v>
      </c>
      <c r="L37">
        <v>8445.3204160173009</v>
      </c>
    </row>
    <row r="38" spans="1:12" x14ac:dyDescent="0.3">
      <c r="A38" t="s">
        <v>31</v>
      </c>
      <c r="B38" t="s">
        <v>32</v>
      </c>
      <c r="C38" t="s">
        <v>33</v>
      </c>
      <c r="D38">
        <v>404322</v>
      </c>
      <c r="E38">
        <v>40.68</v>
      </c>
      <c r="F38">
        <v>-74.17</v>
      </c>
      <c r="G38">
        <v>2018</v>
      </c>
      <c r="H38" t="s">
        <v>15</v>
      </c>
      <c r="I38">
        <v>2850.2866485793202</v>
      </c>
      <c r="J38">
        <v>2964.2579089999999</v>
      </c>
      <c r="K38">
        <v>113.97126042067976</v>
      </c>
      <c r="L38">
        <v>8355.7669406971199</v>
      </c>
    </row>
    <row r="39" spans="1:12" x14ac:dyDescent="0.3">
      <c r="A39" t="s">
        <v>31</v>
      </c>
      <c r="B39" t="s">
        <v>32</v>
      </c>
      <c r="C39" t="s">
        <v>33</v>
      </c>
      <c r="D39">
        <v>404322</v>
      </c>
      <c r="E39">
        <v>40.68</v>
      </c>
      <c r="F39">
        <v>-74.17</v>
      </c>
      <c r="G39">
        <v>2019</v>
      </c>
      <c r="H39" t="s">
        <v>15</v>
      </c>
      <c r="I39">
        <v>2822.3138151237599</v>
      </c>
      <c r="J39">
        <v>2921.8567579999999</v>
      </c>
      <c r="K39">
        <v>99.542942876239977</v>
      </c>
      <c r="L39">
        <v>8355.7669406971199</v>
      </c>
    </row>
    <row r="40" spans="1:12" x14ac:dyDescent="0.3">
      <c r="A40" t="s">
        <v>31</v>
      </c>
      <c r="B40" t="s">
        <v>32</v>
      </c>
      <c r="C40" t="s">
        <v>33</v>
      </c>
      <c r="D40">
        <v>404322</v>
      </c>
      <c r="E40">
        <v>40.68</v>
      </c>
      <c r="F40">
        <v>-74.17</v>
      </c>
      <c r="G40">
        <v>2020</v>
      </c>
      <c r="H40" t="s">
        <v>15</v>
      </c>
      <c r="I40">
        <v>2827.9292547168102</v>
      </c>
      <c r="J40">
        <v>2903.305785</v>
      </c>
      <c r="K40">
        <v>75.376530283189823</v>
      </c>
      <c r="L40">
        <v>8355.7669406971199</v>
      </c>
    </row>
    <row r="41" spans="1:12" x14ac:dyDescent="0.3">
      <c r="A41" t="s">
        <v>31</v>
      </c>
      <c r="B41" t="s">
        <v>32</v>
      </c>
      <c r="C41" t="s">
        <v>33</v>
      </c>
      <c r="D41">
        <v>404322</v>
      </c>
      <c r="E41">
        <v>40.68</v>
      </c>
      <c r="F41">
        <v>-74.17</v>
      </c>
      <c r="G41">
        <v>2021</v>
      </c>
      <c r="H41" t="s">
        <v>15</v>
      </c>
      <c r="I41">
        <v>2815.92508745028</v>
      </c>
      <c r="J41">
        <v>2901.8490120000001</v>
      </c>
      <c r="K41">
        <v>85.923924549720141</v>
      </c>
      <c r="L41">
        <v>8355.7669406971199</v>
      </c>
    </row>
    <row r="42" spans="1:12" x14ac:dyDescent="0.3">
      <c r="A42" t="s">
        <v>31</v>
      </c>
      <c r="B42" t="s">
        <v>32</v>
      </c>
      <c r="C42" t="s">
        <v>33</v>
      </c>
      <c r="D42">
        <v>404322</v>
      </c>
      <c r="E42">
        <v>40.68</v>
      </c>
      <c r="F42">
        <v>-74.17</v>
      </c>
      <c r="G42">
        <v>2022</v>
      </c>
      <c r="H42" t="s">
        <v>15</v>
      </c>
      <c r="I42">
        <v>2842.4672013044501</v>
      </c>
      <c r="J42">
        <v>2941.9835680000001</v>
      </c>
      <c r="K42">
        <v>99.516366695550005</v>
      </c>
      <c r="L42">
        <v>8355.7669406971199</v>
      </c>
    </row>
    <row r="43" spans="1:12" x14ac:dyDescent="0.3">
      <c r="A43" t="s">
        <v>31</v>
      </c>
      <c r="B43" t="s">
        <v>32</v>
      </c>
      <c r="C43" t="s">
        <v>33</v>
      </c>
      <c r="D43">
        <v>404322</v>
      </c>
      <c r="E43">
        <v>40.68</v>
      </c>
      <c r="F43">
        <v>-74.17</v>
      </c>
      <c r="G43">
        <v>2023</v>
      </c>
      <c r="H43" t="s">
        <v>15</v>
      </c>
      <c r="I43">
        <v>2825.6658295795401</v>
      </c>
      <c r="J43">
        <v>2921.5766819999999</v>
      </c>
      <c r="K43">
        <v>95.910852420459833</v>
      </c>
      <c r="L43">
        <v>8355.7669406971199</v>
      </c>
    </row>
    <row r="44" spans="1:12" x14ac:dyDescent="0.3">
      <c r="A44" t="s">
        <v>34</v>
      </c>
      <c r="B44" t="s">
        <v>35</v>
      </c>
      <c r="C44" t="s">
        <v>36</v>
      </c>
      <c r="D44">
        <v>448494</v>
      </c>
      <c r="E44">
        <v>39.99</v>
      </c>
      <c r="F44">
        <v>-82.88</v>
      </c>
      <c r="G44">
        <v>2018</v>
      </c>
      <c r="H44" t="s">
        <v>15</v>
      </c>
      <c r="I44">
        <v>1291.74231539332</v>
      </c>
      <c r="J44">
        <v>1292.249026</v>
      </c>
      <c r="K44">
        <v>0.50671060667991696</v>
      </c>
      <c r="L44">
        <v>8065.73173098598</v>
      </c>
    </row>
    <row r="45" spans="1:12" x14ac:dyDescent="0.3">
      <c r="A45" t="s">
        <v>34</v>
      </c>
      <c r="B45" t="s">
        <v>35</v>
      </c>
      <c r="C45" t="s">
        <v>36</v>
      </c>
      <c r="D45">
        <v>448494</v>
      </c>
      <c r="E45">
        <v>39.99</v>
      </c>
      <c r="F45">
        <v>-82.88</v>
      </c>
      <c r="G45">
        <v>2019</v>
      </c>
      <c r="H45" t="s">
        <v>15</v>
      </c>
      <c r="I45">
        <v>1285.89211593505</v>
      </c>
      <c r="J45">
        <v>1285.622449</v>
      </c>
      <c r="K45">
        <v>-0.26966693505005424</v>
      </c>
      <c r="L45">
        <v>8065.73173098598</v>
      </c>
    </row>
    <row r="46" spans="1:12" x14ac:dyDescent="0.3">
      <c r="A46" t="s">
        <v>34</v>
      </c>
      <c r="B46" t="s">
        <v>35</v>
      </c>
      <c r="C46" t="s">
        <v>36</v>
      </c>
      <c r="D46">
        <v>448494</v>
      </c>
      <c r="E46">
        <v>39.99</v>
      </c>
      <c r="F46">
        <v>-82.88</v>
      </c>
      <c r="G46">
        <v>2020</v>
      </c>
      <c r="H46" t="s">
        <v>15</v>
      </c>
      <c r="I46">
        <v>1284.7539950888299</v>
      </c>
      <c r="J46">
        <v>1283.2652029999999</v>
      </c>
      <c r="K46">
        <v>-1.4887920888299959</v>
      </c>
      <c r="L46">
        <v>8065.73173098598</v>
      </c>
    </row>
    <row r="47" spans="1:12" x14ac:dyDescent="0.3">
      <c r="A47" t="s">
        <v>34</v>
      </c>
      <c r="B47" t="s">
        <v>35</v>
      </c>
      <c r="C47" t="s">
        <v>36</v>
      </c>
      <c r="D47">
        <v>448494</v>
      </c>
      <c r="E47">
        <v>39.99</v>
      </c>
      <c r="F47">
        <v>-82.88</v>
      </c>
      <c r="G47">
        <v>2021</v>
      </c>
      <c r="H47" t="s">
        <v>15</v>
      </c>
      <c r="I47">
        <v>1284.84512795055</v>
      </c>
      <c r="J47">
        <v>1284.196774</v>
      </c>
      <c r="K47">
        <v>-0.64835395055001754</v>
      </c>
      <c r="L47">
        <v>8065.73173098598</v>
      </c>
    </row>
    <row r="48" spans="1:12" x14ac:dyDescent="0.3">
      <c r="A48" t="s">
        <v>34</v>
      </c>
      <c r="B48" t="s">
        <v>35</v>
      </c>
      <c r="C48" t="s">
        <v>36</v>
      </c>
      <c r="D48">
        <v>448494</v>
      </c>
      <c r="E48">
        <v>39.99</v>
      </c>
      <c r="F48">
        <v>-82.88</v>
      </c>
      <c r="G48">
        <v>2022</v>
      </c>
      <c r="H48" t="s">
        <v>15</v>
      </c>
      <c r="I48">
        <v>1288.5414844981799</v>
      </c>
      <c r="J48">
        <v>1288.2418379999999</v>
      </c>
      <c r="K48">
        <v>-0.29964649817998179</v>
      </c>
      <c r="L48">
        <v>8065.73173098598</v>
      </c>
    </row>
    <row r="49" spans="1:12" x14ac:dyDescent="0.3">
      <c r="A49" t="s">
        <v>34</v>
      </c>
      <c r="B49" t="s">
        <v>35</v>
      </c>
      <c r="C49" t="s">
        <v>36</v>
      </c>
      <c r="D49">
        <v>448494</v>
      </c>
      <c r="E49">
        <v>39.99</v>
      </c>
      <c r="F49">
        <v>-82.88</v>
      </c>
      <c r="G49">
        <v>2023</v>
      </c>
      <c r="H49" t="s">
        <v>15</v>
      </c>
      <c r="I49">
        <v>1285.22650072689</v>
      </c>
      <c r="J49">
        <v>1285.2368240000001</v>
      </c>
      <c r="K49">
        <v>1.0323273110088849E-2</v>
      </c>
      <c r="L49">
        <v>8065.73173098598</v>
      </c>
    </row>
    <row r="50" spans="1:12" x14ac:dyDescent="0.3">
      <c r="A50" t="s">
        <v>37</v>
      </c>
      <c r="B50" t="s">
        <v>38</v>
      </c>
      <c r="C50" t="s">
        <v>39</v>
      </c>
      <c r="D50">
        <v>67263</v>
      </c>
      <c r="E50">
        <v>45.59</v>
      </c>
      <c r="F50">
        <v>-122.6</v>
      </c>
      <c r="G50">
        <v>2018</v>
      </c>
      <c r="H50" t="s">
        <v>15</v>
      </c>
      <c r="I50">
        <v>989.88223959826905</v>
      </c>
      <c r="J50">
        <v>1408.885284</v>
      </c>
      <c r="K50">
        <v>419.0030444017309</v>
      </c>
      <c r="L50">
        <v>7536.4092728214</v>
      </c>
    </row>
    <row r="51" spans="1:12" x14ac:dyDescent="0.3">
      <c r="A51" t="s">
        <v>37</v>
      </c>
      <c r="B51" t="s">
        <v>38</v>
      </c>
      <c r="C51" t="s">
        <v>39</v>
      </c>
      <c r="D51">
        <v>67263</v>
      </c>
      <c r="E51">
        <v>45.59</v>
      </c>
      <c r="F51">
        <v>-122.6</v>
      </c>
      <c r="G51">
        <v>2019</v>
      </c>
      <c r="H51" t="s">
        <v>15</v>
      </c>
      <c r="I51">
        <v>958.61335034419801</v>
      </c>
      <c r="J51">
        <v>1361.4239170000001</v>
      </c>
      <c r="K51">
        <v>402.81056665580206</v>
      </c>
      <c r="L51">
        <v>7536.4092728214</v>
      </c>
    </row>
    <row r="52" spans="1:12" x14ac:dyDescent="0.3">
      <c r="A52" t="s">
        <v>37</v>
      </c>
      <c r="B52" t="s">
        <v>38</v>
      </c>
      <c r="C52" t="s">
        <v>39</v>
      </c>
      <c r="D52">
        <v>67263</v>
      </c>
      <c r="E52">
        <v>45.59</v>
      </c>
      <c r="F52">
        <v>-122.6</v>
      </c>
      <c r="G52">
        <v>2020</v>
      </c>
      <c r="H52" t="s">
        <v>15</v>
      </c>
      <c r="I52">
        <v>961.41819132569697</v>
      </c>
      <c r="J52">
        <v>1364.119702</v>
      </c>
      <c r="K52">
        <v>402.70151067430299</v>
      </c>
      <c r="L52">
        <v>7536.4092728214</v>
      </c>
    </row>
    <row r="53" spans="1:12" x14ac:dyDescent="0.3">
      <c r="A53" t="s">
        <v>37</v>
      </c>
      <c r="B53" t="s">
        <v>38</v>
      </c>
      <c r="C53" t="s">
        <v>39</v>
      </c>
      <c r="D53">
        <v>67263</v>
      </c>
      <c r="E53">
        <v>45.59</v>
      </c>
      <c r="F53">
        <v>-122.6</v>
      </c>
      <c r="G53">
        <v>2021</v>
      </c>
      <c r="H53" t="s">
        <v>15</v>
      </c>
      <c r="I53">
        <v>1021.2935082679199</v>
      </c>
      <c r="J53">
        <v>1445.87212</v>
      </c>
      <c r="K53">
        <v>424.57861173208005</v>
      </c>
      <c r="L53">
        <v>7536.4092728214</v>
      </c>
    </row>
    <row r="54" spans="1:12" x14ac:dyDescent="0.3">
      <c r="A54" t="s">
        <v>37</v>
      </c>
      <c r="B54" t="s">
        <v>38</v>
      </c>
      <c r="C54" t="s">
        <v>39</v>
      </c>
      <c r="D54">
        <v>67263</v>
      </c>
      <c r="E54">
        <v>45.59</v>
      </c>
      <c r="F54">
        <v>-122.6</v>
      </c>
      <c r="G54">
        <v>2022</v>
      </c>
      <c r="H54" t="s">
        <v>15</v>
      </c>
      <c r="I54">
        <v>1012.66912250133</v>
      </c>
      <c r="J54">
        <v>1434.5589540000001</v>
      </c>
      <c r="K54">
        <v>421.88983149867011</v>
      </c>
      <c r="L54">
        <v>7536.4092728214</v>
      </c>
    </row>
    <row r="55" spans="1:12" x14ac:dyDescent="0.3">
      <c r="A55" t="s">
        <v>37</v>
      </c>
      <c r="B55" t="s">
        <v>38</v>
      </c>
      <c r="C55" t="s">
        <v>39</v>
      </c>
      <c r="D55">
        <v>67263</v>
      </c>
      <c r="E55">
        <v>45.59</v>
      </c>
      <c r="F55">
        <v>-122.6</v>
      </c>
      <c r="G55">
        <v>2023</v>
      </c>
      <c r="H55" t="s">
        <v>15</v>
      </c>
      <c r="I55">
        <v>998.92639306451997</v>
      </c>
      <c r="J55">
        <v>1420.1308489999999</v>
      </c>
      <c r="K55">
        <v>421.20445593547993</v>
      </c>
      <c r="L55">
        <v>7536.4092728214</v>
      </c>
    </row>
    <row r="56" spans="1:12" x14ac:dyDescent="0.3">
      <c r="A56" t="s">
        <v>40</v>
      </c>
      <c r="B56" t="s">
        <v>41</v>
      </c>
      <c r="C56" t="s">
        <v>25</v>
      </c>
      <c r="D56">
        <v>168160</v>
      </c>
      <c r="E56">
        <v>35.22</v>
      </c>
      <c r="F56">
        <v>-101.71</v>
      </c>
      <c r="G56">
        <v>2018</v>
      </c>
      <c r="H56" t="s">
        <v>15</v>
      </c>
      <c r="I56">
        <v>1114.5209598771501</v>
      </c>
      <c r="J56">
        <v>1134.738771</v>
      </c>
      <c r="K56">
        <v>20.21781112284998</v>
      </c>
      <c r="L56">
        <v>10998.328467204299</v>
      </c>
    </row>
    <row r="57" spans="1:12" x14ac:dyDescent="0.3">
      <c r="A57" t="s">
        <v>40</v>
      </c>
      <c r="B57" t="s">
        <v>41</v>
      </c>
      <c r="C57" t="s">
        <v>25</v>
      </c>
      <c r="D57">
        <v>168160</v>
      </c>
      <c r="E57">
        <v>35.22</v>
      </c>
      <c r="F57">
        <v>-101.71</v>
      </c>
      <c r="G57">
        <v>2019</v>
      </c>
      <c r="H57" t="s">
        <v>15</v>
      </c>
      <c r="I57">
        <v>1122.7797977054599</v>
      </c>
      <c r="J57">
        <v>1136.3135830000001</v>
      </c>
      <c r="K57">
        <v>13.533785294540166</v>
      </c>
      <c r="L57">
        <v>10998.328467204299</v>
      </c>
    </row>
    <row r="58" spans="1:12" x14ac:dyDescent="0.3">
      <c r="A58" t="s">
        <v>40</v>
      </c>
      <c r="B58" t="s">
        <v>41</v>
      </c>
      <c r="C58" t="s">
        <v>25</v>
      </c>
      <c r="D58">
        <v>168160</v>
      </c>
      <c r="E58">
        <v>35.22</v>
      </c>
      <c r="F58">
        <v>-101.71</v>
      </c>
      <c r="G58">
        <v>2020</v>
      </c>
      <c r="H58" t="s">
        <v>15</v>
      </c>
      <c r="I58">
        <v>1138.83424791011</v>
      </c>
      <c r="J58">
        <v>1156.2578550000001</v>
      </c>
      <c r="K58">
        <v>17.423607089890083</v>
      </c>
      <c r="L58">
        <v>10998.328467204299</v>
      </c>
    </row>
    <row r="59" spans="1:12" x14ac:dyDescent="0.3">
      <c r="A59" t="s">
        <v>40</v>
      </c>
      <c r="B59" t="s">
        <v>41</v>
      </c>
      <c r="C59" t="s">
        <v>25</v>
      </c>
      <c r="D59">
        <v>168160</v>
      </c>
      <c r="E59">
        <v>35.22</v>
      </c>
      <c r="F59">
        <v>-101.71</v>
      </c>
      <c r="G59">
        <v>2021</v>
      </c>
      <c r="H59" t="s">
        <v>15</v>
      </c>
      <c r="I59">
        <v>1117.62866339893</v>
      </c>
      <c r="J59">
        <v>1132.273418</v>
      </c>
      <c r="K59">
        <v>14.644754601069963</v>
      </c>
      <c r="L59">
        <v>10998.328467204299</v>
      </c>
    </row>
    <row r="60" spans="1:12" x14ac:dyDescent="0.3">
      <c r="A60" t="s">
        <v>40</v>
      </c>
      <c r="B60" t="s">
        <v>41</v>
      </c>
      <c r="C60" t="s">
        <v>25</v>
      </c>
      <c r="D60">
        <v>168160</v>
      </c>
      <c r="E60">
        <v>35.22</v>
      </c>
      <c r="F60">
        <v>-101.71</v>
      </c>
      <c r="G60">
        <v>2022</v>
      </c>
      <c r="H60" t="s">
        <v>15</v>
      </c>
      <c r="I60">
        <v>1135.21070129131</v>
      </c>
      <c r="J60">
        <v>1152.0380709999999</v>
      </c>
      <c r="K60">
        <v>16.827369708689957</v>
      </c>
      <c r="L60">
        <v>10998.328467204299</v>
      </c>
    </row>
    <row r="61" spans="1:12" x14ac:dyDescent="0.3">
      <c r="A61" t="s">
        <v>40</v>
      </c>
      <c r="B61" t="s">
        <v>41</v>
      </c>
      <c r="C61" t="s">
        <v>25</v>
      </c>
      <c r="D61">
        <v>168160</v>
      </c>
      <c r="E61">
        <v>35.22</v>
      </c>
      <c r="F61">
        <v>-101.71</v>
      </c>
      <c r="G61">
        <v>2023</v>
      </c>
      <c r="H61" t="s">
        <v>15</v>
      </c>
      <c r="I61">
        <v>1137.1882374960101</v>
      </c>
      <c r="J61">
        <v>1150.032921</v>
      </c>
      <c r="K61">
        <v>12.844683503989927</v>
      </c>
      <c r="L61">
        <v>10998.328467204299</v>
      </c>
    </row>
    <row r="62" spans="1:12" x14ac:dyDescent="0.3">
      <c r="A62" t="s">
        <v>42</v>
      </c>
      <c r="B62" t="s">
        <v>43</v>
      </c>
      <c r="C62" t="s">
        <v>44</v>
      </c>
      <c r="D62">
        <v>1652</v>
      </c>
      <c r="E62">
        <v>44.47</v>
      </c>
      <c r="F62">
        <v>-73.150000000000006</v>
      </c>
      <c r="G62">
        <v>2018</v>
      </c>
      <c r="H62" t="s">
        <v>15</v>
      </c>
      <c r="I62">
        <v>1487.96655202683</v>
      </c>
      <c r="J62">
        <v>1554.479182</v>
      </c>
      <c r="K62">
        <v>66.512629973170078</v>
      </c>
      <c r="L62">
        <v>7791.1816478707697</v>
      </c>
    </row>
    <row r="63" spans="1:12" x14ac:dyDescent="0.3">
      <c r="A63" t="s">
        <v>42</v>
      </c>
      <c r="B63" t="s">
        <v>43</v>
      </c>
      <c r="C63" t="s">
        <v>44</v>
      </c>
      <c r="D63">
        <v>1652</v>
      </c>
      <c r="E63">
        <v>44.47</v>
      </c>
      <c r="F63">
        <v>-73.150000000000006</v>
      </c>
      <c r="G63">
        <v>2019</v>
      </c>
      <c r="H63" t="s">
        <v>15</v>
      </c>
      <c r="I63">
        <v>1486.93389721891</v>
      </c>
      <c r="J63">
        <v>1551.0515479999999</v>
      </c>
      <c r="K63">
        <v>64.117650781089878</v>
      </c>
      <c r="L63">
        <v>7791.1816478707697</v>
      </c>
    </row>
    <row r="64" spans="1:12" x14ac:dyDescent="0.3">
      <c r="A64" t="s">
        <v>42</v>
      </c>
      <c r="B64" t="s">
        <v>43</v>
      </c>
      <c r="C64" t="s">
        <v>44</v>
      </c>
      <c r="D64">
        <v>1652</v>
      </c>
      <c r="E64">
        <v>44.47</v>
      </c>
      <c r="F64">
        <v>-73.150000000000006</v>
      </c>
      <c r="G64">
        <v>2020</v>
      </c>
      <c r="H64" t="s">
        <v>15</v>
      </c>
      <c r="I64">
        <v>1488.5083746308301</v>
      </c>
      <c r="J64">
        <v>1555.0091970000001</v>
      </c>
      <c r="K64">
        <v>66.50082236917001</v>
      </c>
      <c r="L64">
        <v>7791.1816478707697</v>
      </c>
    </row>
    <row r="65" spans="1:12" x14ac:dyDescent="0.3">
      <c r="A65" t="s">
        <v>42</v>
      </c>
      <c r="B65" t="s">
        <v>43</v>
      </c>
      <c r="C65" t="s">
        <v>44</v>
      </c>
      <c r="D65">
        <v>1652</v>
      </c>
      <c r="E65">
        <v>44.47</v>
      </c>
      <c r="F65">
        <v>-73.150000000000006</v>
      </c>
      <c r="G65">
        <v>2021</v>
      </c>
      <c r="H65" t="s">
        <v>15</v>
      </c>
      <c r="I65">
        <v>1488.60536743788</v>
      </c>
      <c r="J65">
        <v>1553.4812480000001</v>
      </c>
      <c r="K65">
        <v>64.875880562120074</v>
      </c>
      <c r="L65">
        <v>7791.1816478707697</v>
      </c>
    </row>
    <row r="66" spans="1:12" x14ac:dyDescent="0.3">
      <c r="A66" t="s">
        <v>42</v>
      </c>
      <c r="B66" t="s">
        <v>43</v>
      </c>
      <c r="C66" t="s">
        <v>44</v>
      </c>
      <c r="D66">
        <v>1652</v>
      </c>
      <c r="E66">
        <v>44.47</v>
      </c>
      <c r="F66">
        <v>-73.150000000000006</v>
      </c>
      <c r="G66">
        <v>2022</v>
      </c>
      <c r="H66" t="s">
        <v>15</v>
      </c>
      <c r="I66">
        <v>1488.38773641686</v>
      </c>
      <c r="J66">
        <v>1553.363194</v>
      </c>
      <c r="K66">
        <v>64.975457583140042</v>
      </c>
      <c r="L66">
        <v>7791.1816478707697</v>
      </c>
    </row>
    <row r="67" spans="1:12" x14ac:dyDescent="0.3">
      <c r="A67" t="s">
        <v>42</v>
      </c>
      <c r="B67" t="s">
        <v>43</v>
      </c>
      <c r="C67" t="s">
        <v>44</v>
      </c>
      <c r="D67">
        <v>1652</v>
      </c>
      <c r="E67">
        <v>44.47</v>
      </c>
      <c r="F67">
        <v>-73.150000000000006</v>
      </c>
      <c r="G67">
        <v>2023</v>
      </c>
      <c r="H67" t="s">
        <v>15</v>
      </c>
      <c r="I67">
        <v>1486.8154623283201</v>
      </c>
      <c r="J67">
        <v>1551.244109</v>
      </c>
      <c r="K67">
        <v>64.428646671679871</v>
      </c>
      <c r="L67">
        <v>7791.1816478707697</v>
      </c>
    </row>
    <row r="68" spans="1:12" x14ac:dyDescent="0.3">
      <c r="A68" t="s">
        <v>45</v>
      </c>
      <c r="B68" t="s">
        <v>46</v>
      </c>
      <c r="C68" t="s">
        <v>47</v>
      </c>
      <c r="D68">
        <v>467842</v>
      </c>
      <c r="E68">
        <v>42.95</v>
      </c>
      <c r="F68">
        <v>-87.9</v>
      </c>
      <c r="G68">
        <v>2018</v>
      </c>
      <c r="H68" t="s">
        <v>15</v>
      </c>
      <c r="I68">
        <v>1385.8659492100501</v>
      </c>
      <c r="J68">
        <v>1386.0752279999999</v>
      </c>
      <c r="K68">
        <v>0.20927878994984894</v>
      </c>
      <c r="L68">
        <v>8292.5516027999292</v>
      </c>
    </row>
    <row r="69" spans="1:12" x14ac:dyDescent="0.3">
      <c r="A69" t="s">
        <v>45</v>
      </c>
      <c r="B69" t="s">
        <v>46</v>
      </c>
      <c r="C69" t="s">
        <v>47</v>
      </c>
      <c r="D69">
        <v>467842</v>
      </c>
      <c r="E69">
        <v>42.95</v>
      </c>
      <c r="F69">
        <v>-87.9</v>
      </c>
      <c r="G69">
        <v>2019</v>
      </c>
      <c r="H69" t="s">
        <v>15</v>
      </c>
      <c r="I69">
        <v>1353.6898101679101</v>
      </c>
      <c r="J69">
        <v>1354.207868</v>
      </c>
      <c r="K69">
        <v>0.51805783208988032</v>
      </c>
      <c r="L69">
        <v>8292.5516027999292</v>
      </c>
    </row>
    <row r="70" spans="1:12" x14ac:dyDescent="0.3">
      <c r="A70" t="s">
        <v>45</v>
      </c>
      <c r="B70" t="s">
        <v>46</v>
      </c>
      <c r="C70" t="s">
        <v>47</v>
      </c>
      <c r="D70">
        <v>467842</v>
      </c>
      <c r="E70">
        <v>42.95</v>
      </c>
      <c r="F70">
        <v>-87.9</v>
      </c>
      <c r="G70">
        <v>2020</v>
      </c>
      <c r="H70" t="s">
        <v>15</v>
      </c>
      <c r="I70">
        <v>1382.4900006483001</v>
      </c>
      <c r="J70">
        <v>1383.4480860000001</v>
      </c>
      <c r="K70">
        <v>0.95808535169999232</v>
      </c>
      <c r="L70">
        <v>8292.5516027999292</v>
      </c>
    </row>
    <row r="71" spans="1:12" x14ac:dyDescent="0.3">
      <c r="A71" t="s">
        <v>45</v>
      </c>
      <c r="B71" t="s">
        <v>46</v>
      </c>
      <c r="C71" t="s">
        <v>47</v>
      </c>
      <c r="D71">
        <v>467842</v>
      </c>
      <c r="E71">
        <v>42.95</v>
      </c>
      <c r="F71">
        <v>-87.9</v>
      </c>
      <c r="G71">
        <v>2021</v>
      </c>
      <c r="H71" t="s">
        <v>15</v>
      </c>
      <c r="I71">
        <v>1388.46197105182</v>
      </c>
      <c r="J71">
        <v>1389.451474</v>
      </c>
      <c r="K71">
        <v>0.98950294817996109</v>
      </c>
      <c r="L71">
        <v>8292.5516027999292</v>
      </c>
    </row>
    <row r="72" spans="1:12" x14ac:dyDescent="0.3">
      <c r="A72" t="s">
        <v>45</v>
      </c>
      <c r="B72" t="s">
        <v>46</v>
      </c>
      <c r="C72" t="s">
        <v>47</v>
      </c>
      <c r="D72">
        <v>467842</v>
      </c>
      <c r="E72">
        <v>42.95</v>
      </c>
      <c r="F72">
        <v>-87.9</v>
      </c>
      <c r="G72">
        <v>2022</v>
      </c>
      <c r="H72" t="s">
        <v>15</v>
      </c>
      <c r="I72">
        <v>1389.3924131060601</v>
      </c>
      <c r="J72">
        <v>1390.1183470000001</v>
      </c>
      <c r="K72">
        <v>0.72593389394000951</v>
      </c>
      <c r="L72">
        <v>8292.5516027999292</v>
      </c>
    </row>
    <row r="73" spans="1:12" x14ac:dyDescent="0.3">
      <c r="A73" t="s">
        <v>45</v>
      </c>
      <c r="B73" t="s">
        <v>46</v>
      </c>
      <c r="C73" t="s">
        <v>47</v>
      </c>
      <c r="D73">
        <v>467842</v>
      </c>
      <c r="E73">
        <v>42.95</v>
      </c>
      <c r="F73">
        <v>-87.9</v>
      </c>
      <c r="G73">
        <v>2023</v>
      </c>
      <c r="H73" t="s">
        <v>15</v>
      </c>
      <c r="I73">
        <v>1386.60471295208</v>
      </c>
      <c r="J73">
        <v>1387.0006519999999</v>
      </c>
      <c r="K73">
        <v>0.39593904791991008</v>
      </c>
      <c r="L73">
        <v>8292.5516027999292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00CD-9D8F-47C0-BB4C-DB6B397E8903}">
  <dimension ref="A1:O73"/>
  <sheetViews>
    <sheetView workbookViewId="0">
      <selection activeCell="M1" sqref="M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</v>
      </c>
      <c r="J1" t="s">
        <v>49</v>
      </c>
      <c r="L1" t="s">
        <v>50</v>
      </c>
      <c r="M1" t="s">
        <v>51</v>
      </c>
      <c r="N1" t="s">
        <v>68</v>
      </c>
      <c r="O1" t="s">
        <v>9</v>
      </c>
    </row>
    <row r="2" spans="1:15" x14ac:dyDescent="0.3">
      <c r="A2" t="s">
        <v>12</v>
      </c>
      <c r="B2" t="s">
        <v>13</v>
      </c>
      <c r="C2" t="s">
        <v>14</v>
      </c>
      <c r="D2">
        <v>46496</v>
      </c>
      <c r="E2">
        <v>33.56</v>
      </c>
      <c r="F2">
        <v>-86.75</v>
      </c>
      <c r="G2">
        <v>2018</v>
      </c>
      <c r="H2" t="s">
        <v>16</v>
      </c>
      <c r="I2">
        <v>822.24786601343703</v>
      </c>
      <c r="J2">
        <v>978.21771550000005</v>
      </c>
      <c r="K2">
        <v>155.96984948656302</v>
      </c>
      <c r="L2">
        <v>-1.2691722561658167E-3</v>
      </c>
      <c r="M2">
        <v>-1.6050146481770066E-2</v>
      </c>
      <c r="N2">
        <v>11472.694900807801</v>
      </c>
      <c r="O2">
        <v>8621.1306134651695</v>
      </c>
    </row>
    <row r="3" spans="1:15" x14ac:dyDescent="0.3">
      <c r="A3" t="s">
        <v>12</v>
      </c>
      <c r="B3" t="s">
        <v>13</v>
      </c>
      <c r="C3" t="s">
        <v>14</v>
      </c>
      <c r="D3">
        <v>46496</v>
      </c>
      <c r="E3">
        <v>33.56</v>
      </c>
      <c r="F3">
        <v>-86.75</v>
      </c>
      <c r="G3">
        <v>2019</v>
      </c>
      <c r="H3" t="s">
        <v>16</v>
      </c>
      <c r="I3">
        <v>844.01501833309499</v>
      </c>
      <c r="J3">
        <v>997.14428989999999</v>
      </c>
      <c r="K3">
        <v>153.129271566905</v>
      </c>
      <c r="L3">
        <v>1.6451478238112174E-2</v>
      </c>
      <c r="M3">
        <v>-1.3061249988298904E-3</v>
      </c>
      <c r="N3">
        <v>11894.363219122701</v>
      </c>
      <c r="O3">
        <v>8716.7444239972301</v>
      </c>
    </row>
    <row r="4" spans="1:15" x14ac:dyDescent="0.3">
      <c r="A4" t="s">
        <v>12</v>
      </c>
      <c r="B4" t="s">
        <v>13</v>
      </c>
      <c r="C4" t="s">
        <v>14</v>
      </c>
      <c r="D4">
        <v>46496</v>
      </c>
      <c r="E4">
        <v>33.56</v>
      </c>
      <c r="F4">
        <v>-86.75</v>
      </c>
      <c r="G4">
        <v>2020</v>
      </c>
      <c r="H4" t="s">
        <v>16</v>
      </c>
      <c r="I4">
        <v>786.96200638225605</v>
      </c>
      <c r="J4">
        <v>973.85643259999995</v>
      </c>
      <c r="K4">
        <v>186.8944262177439</v>
      </c>
      <c r="L4">
        <v>3.4963065301654521E-3</v>
      </c>
      <c r="M4">
        <v>-5.5156664557600944E-3</v>
      </c>
      <c r="N4">
        <v>10144.622380361099</v>
      </c>
      <c r="O4">
        <v>8634.7380861866804</v>
      </c>
    </row>
    <row r="5" spans="1:15" x14ac:dyDescent="0.3">
      <c r="A5" t="s">
        <v>12</v>
      </c>
      <c r="B5" t="s">
        <v>13</v>
      </c>
      <c r="C5" t="s">
        <v>14</v>
      </c>
      <c r="D5">
        <v>46496</v>
      </c>
      <c r="E5">
        <v>33.56</v>
      </c>
      <c r="F5">
        <v>-86.75</v>
      </c>
      <c r="G5">
        <v>2021</v>
      </c>
      <c r="H5" t="s">
        <v>16</v>
      </c>
      <c r="I5">
        <v>767.47674133462499</v>
      </c>
      <c r="J5">
        <v>980.78651890000003</v>
      </c>
      <c r="K5">
        <v>213.30977756537504</v>
      </c>
      <c r="L5">
        <v>-1.250181876402786E-2</v>
      </c>
      <c r="M5">
        <v>-1.284431461238523E-2</v>
      </c>
      <c r="N5">
        <v>9454.1004397950601</v>
      </c>
      <c r="O5">
        <v>8847.2703726983309</v>
      </c>
    </row>
    <row r="6" spans="1:15" x14ac:dyDescent="0.3">
      <c r="A6" t="s">
        <v>12</v>
      </c>
      <c r="B6" t="s">
        <v>13</v>
      </c>
      <c r="C6" t="s">
        <v>14</v>
      </c>
      <c r="D6">
        <v>46496</v>
      </c>
      <c r="E6">
        <v>33.56</v>
      </c>
      <c r="F6">
        <v>-86.75</v>
      </c>
      <c r="G6">
        <v>2022</v>
      </c>
      <c r="H6" t="s">
        <v>16</v>
      </c>
      <c r="I6">
        <v>870.89925033299005</v>
      </c>
      <c r="J6">
        <v>1054.4249159999999</v>
      </c>
      <c r="K6">
        <v>183.52566566700989</v>
      </c>
      <c r="L6">
        <v>6.1759145799862011E-2</v>
      </c>
      <c r="M6">
        <v>4.4104243126404694E-2</v>
      </c>
      <c r="N6">
        <v>11166.9166924903</v>
      </c>
      <c r="O6">
        <v>9524.5165356425896</v>
      </c>
    </row>
    <row r="7" spans="1:15" x14ac:dyDescent="0.3">
      <c r="A7" t="s">
        <v>12</v>
      </c>
      <c r="B7" t="s">
        <v>13</v>
      </c>
      <c r="C7" t="s">
        <v>14</v>
      </c>
      <c r="D7">
        <v>46496</v>
      </c>
      <c r="E7">
        <v>33.56</v>
      </c>
      <c r="F7">
        <v>-86.75</v>
      </c>
      <c r="G7">
        <v>2023</v>
      </c>
      <c r="H7" t="s">
        <v>16</v>
      </c>
      <c r="I7">
        <v>844.29870143381595</v>
      </c>
      <c r="J7">
        <v>1048.876017</v>
      </c>
      <c r="K7">
        <v>204.5773155661841</v>
      </c>
      <c r="L7">
        <v>4.2300113364320206E-2</v>
      </c>
      <c r="M7">
        <v>4.5305008399325941E-2</v>
      </c>
      <c r="N7">
        <v>10870.7592790081</v>
      </c>
      <c r="O7">
        <v>9250.2634257784302</v>
      </c>
    </row>
    <row r="8" spans="1:15" x14ac:dyDescent="0.3">
      <c r="A8" t="s">
        <v>17</v>
      </c>
      <c r="B8" t="s">
        <v>18</v>
      </c>
      <c r="C8" t="s">
        <v>19</v>
      </c>
      <c r="D8">
        <v>112157</v>
      </c>
      <c r="E8">
        <v>35.14</v>
      </c>
      <c r="F8">
        <v>-111.67</v>
      </c>
      <c r="G8">
        <v>2018</v>
      </c>
      <c r="H8" t="s">
        <v>16</v>
      </c>
      <c r="I8">
        <v>932.169976712123</v>
      </c>
      <c r="J8">
        <v>1256.1124569999999</v>
      </c>
      <c r="K8">
        <v>323.94248028787695</v>
      </c>
      <c r="L8">
        <v>7.8173169915913224E-3</v>
      </c>
      <c r="M8">
        <v>0.12451395054044943</v>
      </c>
      <c r="N8">
        <v>12406.5966592397</v>
      </c>
      <c r="O8">
        <v>11312.075696729</v>
      </c>
    </row>
    <row r="9" spans="1:15" x14ac:dyDescent="0.3">
      <c r="A9" t="s">
        <v>17</v>
      </c>
      <c r="B9" t="s">
        <v>18</v>
      </c>
      <c r="C9" t="s">
        <v>19</v>
      </c>
      <c r="D9">
        <v>112157</v>
      </c>
      <c r="E9">
        <v>35.14</v>
      </c>
      <c r="F9">
        <v>-111.67</v>
      </c>
      <c r="G9">
        <v>2019</v>
      </c>
      <c r="H9" t="s">
        <v>16</v>
      </c>
      <c r="I9">
        <v>929.03520077929204</v>
      </c>
      <c r="J9">
        <v>1243.497846</v>
      </c>
      <c r="K9">
        <v>314.46264522070794</v>
      </c>
      <c r="L9">
        <v>6.8747538734444469E-3</v>
      </c>
      <c r="M9">
        <v>4.7525507583028419E-2</v>
      </c>
      <c r="N9">
        <v>12209.2877876651</v>
      </c>
      <c r="O9">
        <v>11336.7869021319</v>
      </c>
    </row>
    <row r="10" spans="1:15" x14ac:dyDescent="0.3">
      <c r="A10" t="s">
        <v>17</v>
      </c>
      <c r="B10" t="s">
        <v>18</v>
      </c>
      <c r="C10" t="s">
        <v>19</v>
      </c>
      <c r="D10">
        <v>112157</v>
      </c>
      <c r="E10">
        <v>35.14</v>
      </c>
      <c r="F10">
        <v>-111.67</v>
      </c>
      <c r="G10">
        <v>2020</v>
      </c>
      <c r="H10" t="s">
        <v>16</v>
      </c>
      <c r="I10">
        <v>965.44134570483504</v>
      </c>
      <c r="J10">
        <v>1257.998938</v>
      </c>
      <c r="K10">
        <v>292.55759229516491</v>
      </c>
      <c r="L10">
        <v>7.0692803741205554E-2</v>
      </c>
      <c r="M10">
        <v>0.15513342194371119</v>
      </c>
      <c r="N10">
        <v>13006.748567393999</v>
      </c>
      <c r="O10">
        <v>11855.872040647901</v>
      </c>
    </row>
    <row r="11" spans="1:15" x14ac:dyDescent="0.3">
      <c r="A11" t="s">
        <v>17</v>
      </c>
      <c r="B11" t="s">
        <v>18</v>
      </c>
      <c r="C11" t="s">
        <v>19</v>
      </c>
      <c r="D11">
        <v>112157</v>
      </c>
      <c r="E11">
        <v>35.14</v>
      </c>
      <c r="F11">
        <v>-111.67</v>
      </c>
      <c r="G11">
        <v>2021</v>
      </c>
      <c r="H11" t="s">
        <v>16</v>
      </c>
      <c r="I11">
        <v>940.08774401789697</v>
      </c>
      <c r="J11">
        <v>1234.8489380000001</v>
      </c>
      <c r="K11">
        <v>294.76119398210312</v>
      </c>
      <c r="L11">
        <v>3.577048722694328E-2</v>
      </c>
      <c r="M11">
        <v>2.7249405087234838E-2</v>
      </c>
      <c r="N11">
        <v>12416.0115621404</v>
      </c>
      <c r="O11">
        <v>11443.475055557799</v>
      </c>
    </row>
    <row r="12" spans="1:15" x14ac:dyDescent="0.3">
      <c r="A12" t="s">
        <v>17</v>
      </c>
      <c r="B12" t="s">
        <v>18</v>
      </c>
      <c r="C12" t="s">
        <v>19</v>
      </c>
      <c r="D12">
        <v>112157</v>
      </c>
      <c r="E12">
        <v>35.14</v>
      </c>
      <c r="F12">
        <v>-111.67</v>
      </c>
      <c r="G12">
        <v>2022</v>
      </c>
      <c r="H12" t="s">
        <v>16</v>
      </c>
      <c r="I12">
        <v>933.56028020839506</v>
      </c>
      <c r="J12">
        <v>1264.5918409999999</v>
      </c>
      <c r="K12">
        <v>331.03156079160487</v>
      </c>
      <c r="L12">
        <v>2.5610904071469712E-2</v>
      </c>
      <c r="M12">
        <v>8.776287675331991E-2</v>
      </c>
      <c r="N12">
        <v>12433.613848770399</v>
      </c>
      <c r="O12">
        <v>11395.4220198483</v>
      </c>
    </row>
    <row r="13" spans="1:15" x14ac:dyDescent="0.3">
      <c r="A13" t="s">
        <v>17</v>
      </c>
      <c r="B13" t="s">
        <v>18</v>
      </c>
      <c r="C13" t="s">
        <v>19</v>
      </c>
      <c r="D13">
        <v>112157</v>
      </c>
      <c r="E13">
        <v>35.14</v>
      </c>
      <c r="F13">
        <v>-111.67</v>
      </c>
      <c r="G13">
        <v>2023</v>
      </c>
      <c r="H13" t="s">
        <v>16</v>
      </c>
      <c r="I13">
        <v>940.06289819671201</v>
      </c>
      <c r="J13">
        <v>1240.2759329999999</v>
      </c>
      <c r="K13">
        <v>300.21303480328788</v>
      </c>
      <c r="L13">
        <v>2.3025812287061638E-2</v>
      </c>
      <c r="M13">
        <v>9.7922363842850871E-2</v>
      </c>
      <c r="N13">
        <v>12404.025602788501</v>
      </c>
      <c r="O13">
        <v>11559.837818711099</v>
      </c>
    </row>
    <row r="14" spans="1:15" x14ac:dyDescent="0.3">
      <c r="A14" t="s">
        <v>20</v>
      </c>
      <c r="B14" t="s">
        <v>21</v>
      </c>
      <c r="C14" t="s">
        <v>22</v>
      </c>
      <c r="D14">
        <v>111549</v>
      </c>
      <c r="E14">
        <v>32.869999999999997</v>
      </c>
      <c r="F14">
        <v>-117.15</v>
      </c>
      <c r="G14">
        <v>2018</v>
      </c>
      <c r="H14" t="s">
        <v>16</v>
      </c>
      <c r="I14">
        <v>2839.1139293071401</v>
      </c>
      <c r="J14">
        <v>3838.3935849999998</v>
      </c>
      <c r="K14">
        <v>999.27965569285971</v>
      </c>
      <c r="L14">
        <v>1.9787342312688846E-2</v>
      </c>
      <c r="M14">
        <v>1.8828908349872459E-2</v>
      </c>
      <c r="N14">
        <v>11009.282336107901</v>
      </c>
      <c r="O14">
        <v>11279.391663394499</v>
      </c>
    </row>
    <row r="15" spans="1:15" x14ac:dyDescent="0.3">
      <c r="A15" t="s">
        <v>20</v>
      </c>
      <c r="B15" t="s">
        <v>21</v>
      </c>
      <c r="C15" t="s">
        <v>22</v>
      </c>
      <c r="D15">
        <v>111549</v>
      </c>
      <c r="E15">
        <v>32.869999999999997</v>
      </c>
      <c r="F15">
        <v>-117.15</v>
      </c>
      <c r="G15">
        <v>2019</v>
      </c>
      <c r="H15" t="s">
        <v>16</v>
      </c>
      <c r="I15">
        <v>2743.1948586797298</v>
      </c>
      <c r="J15">
        <v>3743.7680070000001</v>
      </c>
      <c r="K15">
        <v>1000.5731483202703</v>
      </c>
      <c r="L15">
        <v>2.1457119509563707E-2</v>
      </c>
      <c r="M15">
        <v>2.8860971169775384E-2</v>
      </c>
      <c r="N15">
        <v>10456.999785600299</v>
      </c>
      <c r="O15">
        <v>11166.9532066142</v>
      </c>
    </row>
    <row r="16" spans="1:15" x14ac:dyDescent="0.3">
      <c r="A16" t="s">
        <v>20</v>
      </c>
      <c r="B16" t="s">
        <v>21</v>
      </c>
      <c r="C16" t="s">
        <v>22</v>
      </c>
      <c r="D16">
        <v>111549</v>
      </c>
      <c r="E16">
        <v>32.869999999999997</v>
      </c>
      <c r="F16">
        <v>-117.15</v>
      </c>
      <c r="G16">
        <v>2020</v>
      </c>
      <c r="H16" t="s">
        <v>16</v>
      </c>
      <c r="I16">
        <v>2983.9092792648298</v>
      </c>
      <c r="J16">
        <v>3972.2484410000002</v>
      </c>
      <c r="K16">
        <v>988.33916173517036</v>
      </c>
      <c r="L16">
        <v>3.8838559338723662E-2</v>
      </c>
      <c r="M16">
        <v>4.2328140145883736E-2</v>
      </c>
      <c r="N16">
        <v>11535.792144842901</v>
      </c>
      <c r="O16">
        <v>11558.1056132175</v>
      </c>
    </row>
    <row r="17" spans="1:15" x14ac:dyDescent="0.3">
      <c r="A17" t="s">
        <v>20</v>
      </c>
      <c r="B17" t="s">
        <v>21</v>
      </c>
      <c r="C17" t="s">
        <v>22</v>
      </c>
      <c r="D17">
        <v>111549</v>
      </c>
      <c r="E17">
        <v>32.869999999999997</v>
      </c>
      <c r="F17">
        <v>-117.15</v>
      </c>
      <c r="G17">
        <v>2021</v>
      </c>
      <c r="H17" t="s">
        <v>16</v>
      </c>
      <c r="I17">
        <v>2807.63112715545</v>
      </c>
      <c r="J17">
        <v>3790.433106</v>
      </c>
      <c r="K17">
        <v>982.80197884454992</v>
      </c>
      <c r="L17">
        <v>2.0396847594493769E-2</v>
      </c>
      <c r="M17">
        <v>1.5573762375476717E-2</v>
      </c>
      <c r="N17">
        <v>10765.4828787799</v>
      </c>
      <c r="O17">
        <v>11237.1429902912</v>
      </c>
    </row>
    <row r="18" spans="1:15" x14ac:dyDescent="0.3">
      <c r="A18" t="s">
        <v>20</v>
      </c>
      <c r="B18" t="s">
        <v>21</v>
      </c>
      <c r="C18" t="s">
        <v>22</v>
      </c>
      <c r="D18">
        <v>111549</v>
      </c>
      <c r="E18">
        <v>32.869999999999997</v>
      </c>
      <c r="F18">
        <v>-117.15</v>
      </c>
      <c r="G18">
        <v>2022</v>
      </c>
      <c r="H18" t="s">
        <v>16</v>
      </c>
      <c r="I18">
        <v>2980.7391993462502</v>
      </c>
      <c r="J18">
        <v>3967.3848469999998</v>
      </c>
      <c r="K18">
        <v>986.64564765374962</v>
      </c>
      <c r="L18">
        <v>2.5428433964045326E-2</v>
      </c>
      <c r="M18">
        <v>2.5875273997227406E-2</v>
      </c>
      <c r="N18">
        <v>11706.9269840704</v>
      </c>
      <c r="O18">
        <v>11681.257773011001</v>
      </c>
    </row>
    <row r="19" spans="1:15" x14ac:dyDescent="0.3">
      <c r="A19" t="s">
        <v>20</v>
      </c>
      <c r="B19" t="s">
        <v>21</v>
      </c>
      <c r="C19" t="s">
        <v>22</v>
      </c>
      <c r="D19">
        <v>111549</v>
      </c>
      <c r="E19">
        <v>32.869999999999997</v>
      </c>
      <c r="F19">
        <v>-117.15</v>
      </c>
      <c r="G19">
        <v>2023</v>
      </c>
      <c r="H19" t="s">
        <v>16</v>
      </c>
      <c r="I19">
        <v>2576.9425357351702</v>
      </c>
      <c r="J19">
        <v>3522.217216</v>
      </c>
      <c r="K19">
        <v>945.27468026482984</v>
      </c>
      <c r="L19">
        <v>1.157178389650121E-3</v>
      </c>
      <c r="M19">
        <v>-1.7054869006141371E-4</v>
      </c>
      <c r="N19">
        <v>9977.3091824736093</v>
      </c>
      <c r="O19">
        <v>10568.644647167799</v>
      </c>
    </row>
    <row r="20" spans="1:15" x14ac:dyDescent="0.3">
      <c r="A20" t="s">
        <v>23</v>
      </c>
      <c r="B20" t="s">
        <v>24</v>
      </c>
      <c r="C20" t="s">
        <v>25</v>
      </c>
      <c r="D20">
        <v>126745</v>
      </c>
      <c r="E20">
        <v>39.81</v>
      </c>
      <c r="F20">
        <v>-105.14</v>
      </c>
      <c r="G20">
        <v>2018</v>
      </c>
      <c r="H20" t="s">
        <v>16</v>
      </c>
      <c r="I20">
        <v>1463.17217822462</v>
      </c>
      <c r="J20">
        <v>1524.997104</v>
      </c>
      <c r="K20">
        <v>61.824925775380052</v>
      </c>
      <c r="L20">
        <v>2.1559245841040561E-2</v>
      </c>
      <c r="M20">
        <v>1.691438983859124E-2</v>
      </c>
      <c r="N20">
        <v>11042.2264192159</v>
      </c>
      <c r="O20">
        <v>10132.419670650201</v>
      </c>
    </row>
    <row r="21" spans="1:15" x14ac:dyDescent="0.3">
      <c r="A21" t="s">
        <v>23</v>
      </c>
      <c r="B21" t="s">
        <v>24</v>
      </c>
      <c r="C21" t="s">
        <v>25</v>
      </c>
      <c r="D21">
        <v>126745</v>
      </c>
      <c r="E21">
        <v>39.81</v>
      </c>
      <c r="F21">
        <v>-105.14</v>
      </c>
      <c r="G21">
        <v>2019</v>
      </c>
      <c r="H21" t="s">
        <v>16</v>
      </c>
      <c r="I21">
        <v>1447.30045403801</v>
      </c>
      <c r="J21">
        <v>1508.445318</v>
      </c>
      <c r="K21">
        <v>61.14486396199004</v>
      </c>
      <c r="L21">
        <v>1.0477907067948331E-2</v>
      </c>
      <c r="M21">
        <v>7.8248702501876842E-3</v>
      </c>
      <c r="N21">
        <v>10965.851763025799</v>
      </c>
      <c r="O21">
        <v>10064.847963513401</v>
      </c>
    </row>
    <row r="22" spans="1:15" x14ac:dyDescent="0.3">
      <c r="A22" t="s">
        <v>23</v>
      </c>
      <c r="B22" t="s">
        <v>24</v>
      </c>
      <c r="C22" t="s">
        <v>25</v>
      </c>
      <c r="D22">
        <v>126745</v>
      </c>
      <c r="E22">
        <v>39.81</v>
      </c>
      <c r="F22">
        <v>-105.14</v>
      </c>
      <c r="G22">
        <v>2020</v>
      </c>
      <c r="H22" t="s">
        <v>16</v>
      </c>
      <c r="I22">
        <v>1488.1414168075601</v>
      </c>
      <c r="J22">
        <v>1557.2722630000001</v>
      </c>
      <c r="K22">
        <v>69.130846192440004</v>
      </c>
      <c r="L22">
        <v>3.8992297750873602E-2</v>
      </c>
      <c r="M22">
        <v>3.8611156483028597E-2</v>
      </c>
      <c r="N22">
        <v>11104.6196673377</v>
      </c>
      <c r="O22">
        <v>10412.765156339799</v>
      </c>
    </row>
    <row r="23" spans="1:15" x14ac:dyDescent="0.3">
      <c r="A23" t="s">
        <v>23</v>
      </c>
      <c r="B23" t="s">
        <v>24</v>
      </c>
      <c r="C23" t="s">
        <v>25</v>
      </c>
      <c r="D23">
        <v>126745</v>
      </c>
      <c r="E23">
        <v>39.81</v>
      </c>
      <c r="F23">
        <v>-105.14</v>
      </c>
      <c r="G23">
        <v>2021</v>
      </c>
      <c r="H23" t="s">
        <v>16</v>
      </c>
      <c r="I23">
        <v>1495.1190646999501</v>
      </c>
      <c r="J23">
        <v>1557.0189029999999</v>
      </c>
      <c r="K23">
        <v>61.899838300049851</v>
      </c>
      <c r="L23">
        <v>4.3863960036950762E-2</v>
      </c>
      <c r="M23">
        <v>3.8855282621331859E-2</v>
      </c>
      <c r="N23">
        <v>11073.902979337499</v>
      </c>
      <c r="O23">
        <v>10363.643584973701</v>
      </c>
    </row>
    <row r="24" spans="1:15" x14ac:dyDescent="0.3">
      <c r="A24" t="s">
        <v>23</v>
      </c>
      <c r="B24" t="s">
        <v>24</v>
      </c>
      <c r="C24" t="s">
        <v>25</v>
      </c>
      <c r="D24">
        <v>126745</v>
      </c>
      <c r="E24">
        <v>39.81</v>
      </c>
      <c r="F24">
        <v>-105.14</v>
      </c>
      <c r="G24">
        <v>2022</v>
      </c>
      <c r="H24" t="s">
        <v>16</v>
      </c>
      <c r="I24">
        <v>1495.0793737168799</v>
      </c>
      <c r="J24">
        <v>1554.059301</v>
      </c>
      <c r="K24">
        <v>58.979927283120105</v>
      </c>
      <c r="L24">
        <v>4.3836248540426108E-2</v>
      </c>
      <c r="M24">
        <v>3.7088902034634698E-2</v>
      </c>
      <c r="N24">
        <v>11135.292823481799</v>
      </c>
      <c r="O24">
        <v>10419.8927859792</v>
      </c>
    </row>
    <row r="25" spans="1:15" x14ac:dyDescent="0.3">
      <c r="A25" t="s">
        <v>23</v>
      </c>
      <c r="B25" t="s">
        <v>24</v>
      </c>
      <c r="C25" t="s">
        <v>25</v>
      </c>
      <c r="D25">
        <v>126745</v>
      </c>
      <c r="E25">
        <v>39.81</v>
      </c>
      <c r="F25">
        <v>-105.14</v>
      </c>
      <c r="G25">
        <v>2023</v>
      </c>
      <c r="H25" t="s">
        <v>16</v>
      </c>
      <c r="I25">
        <v>1470.33339705136</v>
      </c>
      <c r="J25">
        <v>1532.9656709999999</v>
      </c>
      <c r="K25">
        <v>62.632273948639977</v>
      </c>
      <c r="L25">
        <v>2.6559073894649222E-2</v>
      </c>
      <c r="M25">
        <v>2.4423978673984877E-2</v>
      </c>
      <c r="N25">
        <v>10819.6862885464</v>
      </c>
      <c r="O25">
        <v>10218.625688251899</v>
      </c>
    </row>
    <row r="26" spans="1:15" x14ac:dyDescent="0.3">
      <c r="A26" t="s">
        <v>26</v>
      </c>
      <c r="B26" t="s">
        <v>27</v>
      </c>
      <c r="C26" t="s">
        <v>28</v>
      </c>
      <c r="D26">
        <v>305</v>
      </c>
      <c r="E26">
        <v>41.88</v>
      </c>
      <c r="F26">
        <v>-71.02</v>
      </c>
      <c r="G26">
        <v>2018</v>
      </c>
      <c r="H26" t="s">
        <v>16</v>
      </c>
      <c r="I26">
        <v>3457.2178214843202</v>
      </c>
      <c r="J26">
        <v>3457.8478879999998</v>
      </c>
      <c r="K26">
        <v>0.63006651567957306</v>
      </c>
      <c r="L26">
        <v>-6.8751813109057897E-2</v>
      </c>
      <c r="M26">
        <v>-6.8556860413862067E-2</v>
      </c>
      <c r="N26">
        <v>10808.922798740999</v>
      </c>
      <c r="O26">
        <v>8004.4599915119697</v>
      </c>
    </row>
    <row r="27" spans="1:15" x14ac:dyDescent="0.3">
      <c r="A27" t="s">
        <v>26</v>
      </c>
      <c r="B27" t="s">
        <v>27</v>
      </c>
      <c r="C27" t="s">
        <v>28</v>
      </c>
      <c r="D27">
        <v>305</v>
      </c>
      <c r="E27">
        <v>41.88</v>
      </c>
      <c r="F27">
        <v>-71.02</v>
      </c>
      <c r="G27">
        <v>2019</v>
      </c>
      <c r="H27" t="s">
        <v>16</v>
      </c>
      <c r="I27">
        <v>3595.0514405896101</v>
      </c>
      <c r="J27">
        <v>3595.0541370000001</v>
      </c>
      <c r="K27">
        <v>2.6964103899445035E-3</v>
      </c>
      <c r="L27">
        <v>-2.8723063415584081E-2</v>
      </c>
      <c r="M27">
        <v>-2.8820753000132156E-2</v>
      </c>
      <c r="N27">
        <v>10574.7459609055</v>
      </c>
      <c r="O27">
        <v>8341.0215201944902</v>
      </c>
    </row>
    <row r="28" spans="1:15" x14ac:dyDescent="0.3">
      <c r="A28" t="s">
        <v>26</v>
      </c>
      <c r="B28" t="s">
        <v>27</v>
      </c>
      <c r="C28" t="s">
        <v>28</v>
      </c>
      <c r="D28">
        <v>305</v>
      </c>
      <c r="E28">
        <v>41.88</v>
      </c>
      <c r="F28">
        <v>-71.02</v>
      </c>
      <c r="G28">
        <v>2020</v>
      </c>
      <c r="H28" t="s">
        <v>16</v>
      </c>
      <c r="I28">
        <v>3558.3595187123201</v>
      </c>
      <c r="J28">
        <v>3558.1106840000002</v>
      </c>
      <c r="K28">
        <v>-0.24883471231987642</v>
      </c>
      <c r="L28">
        <v>-4.3802681189312034E-2</v>
      </c>
      <c r="M28">
        <v>-4.3724651803381781E-2</v>
      </c>
      <c r="N28">
        <v>10892.9964954562</v>
      </c>
      <c r="O28">
        <v>8298.3523700333099</v>
      </c>
    </row>
    <row r="29" spans="1:15" x14ac:dyDescent="0.3">
      <c r="A29" t="s">
        <v>26</v>
      </c>
      <c r="B29" t="s">
        <v>27</v>
      </c>
      <c r="C29" t="s">
        <v>28</v>
      </c>
      <c r="D29">
        <v>305</v>
      </c>
      <c r="E29">
        <v>41.88</v>
      </c>
      <c r="F29">
        <v>-71.02</v>
      </c>
      <c r="G29">
        <v>2021</v>
      </c>
      <c r="H29" t="s">
        <v>16</v>
      </c>
      <c r="I29">
        <v>3640.6083248489499</v>
      </c>
      <c r="J29">
        <v>3640.4583429999998</v>
      </c>
      <c r="K29">
        <v>-0.14998184895011946</v>
      </c>
      <c r="L29">
        <v>-2.2264521322285107E-2</v>
      </c>
      <c r="M29">
        <v>-2.1929916394759798E-2</v>
      </c>
      <c r="N29">
        <v>10680.8824475442</v>
      </c>
      <c r="O29">
        <v>8528.9182685974192</v>
      </c>
    </row>
    <row r="30" spans="1:15" x14ac:dyDescent="0.3">
      <c r="A30" t="s">
        <v>26</v>
      </c>
      <c r="B30" t="s">
        <v>27</v>
      </c>
      <c r="C30" t="s">
        <v>28</v>
      </c>
      <c r="D30">
        <v>305</v>
      </c>
      <c r="E30">
        <v>41.88</v>
      </c>
      <c r="F30">
        <v>-71.02</v>
      </c>
      <c r="G30">
        <v>2022</v>
      </c>
      <c r="H30" t="s">
        <v>16</v>
      </c>
      <c r="I30">
        <v>3807.39012668034</v>
      </c>
      <c r="J30">
        <v>3807.3905239999999</v>
      </c>
      <c r="K30">
        <v>3.9731965989631135E-4</v>
      </c>
      <c r="L30">
        <v>2.2263531455286204E-2</v>
      </c>
      <c r="M30">
        <v>2.2174289524808669E-2</v>
      </c>
      <c r="N30">
        <v>10976.919708785899</v>
      </c>
      <c r="O30">
        <v>8899.9742830232099</v>
      </c>
    </row>
    <row r="31" spans="1:15" x14ac:dyDescent="0.3">
      <c r="A31" t="s">
        <v>26</v>
      </c>
      <c r="B31" t="s">
        <v>27</v>
      </c>
      <c r="C31" t="s">
        <v>28</v>
      </c>
      <c r="D31">
        <v>305</v>
      </c>
      <c r="E31">
        <v>41.88</v>
      </c>
      <c r="F31">
        <v>-71.02</v>
      </c>
      <c r="G31">
        <v>2023</v>
      </c>
      <c r="H31" t="s">
        <v>16</v>
      </c>
      <c r="I31">
        <v>3503.3970862855599</v>
      </c>
      <c r="J31">
        <v>3502.4156349999998</v>
      </c>
      <c r="K31">
        <v>-0.98145128556006966</v>
      </c>
      <c r="L31">
        <v>-5.608599954358684E-2</v>
      </c>
      <c r="M31">
        <v>-5.6086860579912821E-2</v>
      </c>
      <c r="N31">
        <v>10519.7385057233</v>
      </c>
      <c r="O31">
        <v>8217.0215564048303</v>
      </c>
    </row>
    <row r="32" spans="1:15" x14ac:dyDescent="0.3">
      <c r="A32" t="s">
        <v>29</v>
      </c>
      <c r="B32" t="s">
        <v>30</v>
      </c>
      <c r="C32" t="s">
        <v>25</v>
      </c>
      <c r="D32">
        <v>442412</v>
      </c>
      <c r="E32">
        <v>44.85</v>
      </c>
      <c r="F32">
        <v>-93.03</v>
      </c>
      <c r="G32">
        <v>2018</v>
      </c>
      <c r="H32" t="s">
        <v>16</v>
      </c>
      <c r="I32">
        <v>1687.3010949049001</v>
      </c>
      <c r="J32">
        <v>1611.268155</v>
      </c>
      <c r="K32">
        <v>-76.032939904900104</v>
      </c>
      <c r="L32">
        <v>-5.625432491033458E-2</v>
      </c>
      <c r="M32">
        <v>-3.3235415119403269E-2</v>
      </c>
      <c r="N32">
        <v>11000.7949151217</v>
      </c>
      <c r="O32">
        <v>8107.6463430990098</v>
      </c>
    </row>
    <row r="33" spans="1:15" x14ac:dyDescent="0.3">
      <c r="A33" t="s">
        <v>29</v>
      </c>
      <c r="B33" t="s">
        <v>30</v>
      </c>
      <c r="C33" t="s">
        <v>25</v>
      </c>
      <c r="D33">
        <v>442412</v>
      </c>
      <c r="E33">
        <v>44.85</v>
      </c>
      <c r="F33">
        <v>-93.03</v>
      </c>
      <c r="G33">
        <v>2019</v>
      </c>
      <c r="H33" t="s">
        <v>16</v>
      </c>
      <c r="I33">
        <v>1691.37684085408</v>
      </c>
      <c r="J33">
        <v>1595.8502329999999</v>
      </c>
      <c r="K33">
        <v>-95.526607854080112</v>
      </c>
      <c r="L33">
        <v>-5.3974667913033257E-2</v>
      </c>
      <c r="M33">
        <v>-4.7110939341980101E-2</v>
      </c>
      <c r="N33">
        <v>10630.3445242856</v>
      </c>
      <c r="O33">
        <v>7903.0696634712504</v>
      </c>
    </row>
    <row r="34" spans="1:15" x14ac:dyDescent="0.3">
      <c r="A34" t="s">
        <v>29</v>
      </c>
      <c r="B34" t="s">
        <v>30</v>
      </c>
      <c r="C34" t="s">
        <v>25</v>
      </c>
      <c r="D34">
        <v>442412</v>
      </c>
      <c r="E34">
        <v>44.85</v>
      </c>
      <c r="F34">
        <v>-93.03</v>
      </c>
      <c r="G34">
        <v>2020</v>
      </c>
      <c r="H34" t="s">
        <v>16</v>
      </c>
      <c r="I34">
        <v>1769.32962731062</v>
      </c>
      <c r="J34">
        <v>1643.6234449999999</v>
      </c>
      <c r="K34">
        <v>-125.70618231062008</v>
      </c>
      <c r="L34">
        <v>-1.0373910866685643E-2</v>
      </c>
      <c r="M34">
        <v>-1.6996242991820971E-2</v>
      </c>
      <c r="N34">
        <v>10726.989881786099</v>
      </c>
      <c r="O34">
        <v>8379.5805036512102</v>
      </c>
    </row>
    <row r="35" spans="1:15" x14ac:dyDescent="0.3">
      <c r="A35" t="s">
        <v>29</v>
      </c>
      <c r="B35" t="s">
        <v>30</v>
      </c>
      <c r="C35" t="s">
        <v>25</v>
      </c>
      <c r="D35">
        <v>442412</v>
      </c>
      <c r="E35">
        <v>44.85</v>
      </c>
      <c r="F35">
        <v>-93.03</v>
      </c>
      <c r="G35">
        <v>2021</v>
      </c>
      <c r="H35" t="s">
        <v>16</v>
      </c>
      <c r="I35">
        <v>1841.7851080707701</v>
      </c>
      <c r="J35">
        <v>1728.1305030000001</v>
      </c>
      <c r="K35">
        <v>-113.65460507077</v>
      </c>
      <c r="L35">
        <v>3.0152078644336441E-2</v>
      </c>
      <c r="M35">
        <v>6.6917172535909232E-3</v>
      </c>
      <c r="N35">
        <v>11161.5659304948</v>
      </c>
      <c r="O35">
        <v>8654.3020047004593</v>
      </c>
    </row>
    <row r="36" spans="1:15" x14ac:dyDescent="0.3">
      <c r="A36" t="s">
        <v>29</v>
      </c>
      <c r="B36" t="s">
        <v>30</v>
      </c>
      <c r="C36" t="s">
        <v>25</v>
      </c>
      <c r="D36">
        <v>442412</v>
      </c>
      <c r="E36">
        <v>44.85</v>
      </c>
      <c r="F36">
        <v>-93.03</v>
      </c>
      <c r="G36">
        <v>2022</v>
      </c>
      <c r="H36" t="s">
        <v>16</v>
      </c>
      <c r="I36">
        <v>1768.07664055226</v>
      </c>
      <c r="J36">
        <v>1667.697946</v>
      </c>
      <c r="K36">
        <v>-100.37869455225996</v>
      </c>
      <c r="L36">
        <v>-1.1074734747978241E-2</v>
      </c>
      <c r="M36">
        <v>-1.0671558586730938E-2</v>
      </c>
      <c r="N36">
        <v>11038.3648638214</v>
      </c>
      <c r="O36">
        <v>8352.7370720511699</v>
      </c>
    </row>
    <row r="37" spans="1:15" x14ac:dyDescent="0.3">
      <c r="A37" t="s">
        <v>29</v>
      </c>
      <c r="B37" t="s">
        <v>30</v>
      </c>
      <c r="C37" t="s">
        <v>25</v>
      </c>
      <c r="D37">
        <v>442412</v>
      </c>
      <c r="E37">
        <v>44.85</v>
      </c>
      <c r="F37">
        <v>-93.03</v>
      </c>
      <c r="G37">
        <v>2023</v>
      </c>
      <c r="H37" t="s">
        <v>16</v>
      </c>
      <c r="I37">
        <v>1793.29382980128</v>
      </c>
      <c r="J37">
        <v>1705.7552020000001</v>
      </c>
      <c r="K37">
        <v>-87.538627801279972</v>
      </c>
      <c r="L37">
        <v>3.0298096315838343E-3</v>
      </c>
      <c r="M37">
        <v>4.041543458798748E-3</v>
      </c>
      <c r="N37">
        <v>11155.9566001322</v>
      </c>
      <c r="O37">
        <v>8455.4755240744907</v>
      </c>
    </row>
    <row r="38" spans="1:15" x14ac:dyDescent="0.3">
      <c r="A38" t="s">
        <v>31</v>
      </c>
      <c r="B38" t="s">
        <v>32</v>
      </c>
      <c r="C38" t="s">
        <v>33</v>
      </c>
      <c r="D38">
        <v>404322</v>
      </c>
      <c r="E38">
        <v>40.68</v>
      </c>
      <c r="F38">
        <v>-74.17</v>
      </c>
      <c r="G38">
        <v>2018</v>
      </c>
      <c r="H38" t="s">
        <v>16</v>
      </c>
      <c r="I38">
        <v>2571.4179336874899</v>
      </c>
      <c r="J38">
        <v>2667.7979740000001</v>
      </c>
      <c r="K38">
        <v>96.380040312510118</v>
      </c>
      <c r="L38">
        <v>-9.7838831413965988E-2</v>
      </c>
      <c r="M38">
        <v>-0.1000115185996118</v>
      </c>
      <c r="N38">
        <v>10715.7106446246</v>
      </c>
      <c r="O38">
        <v>7487.3183723121001</v>
      </c>
    </row>
    <row r="39" spans="1:15" x14ac:dyDescent="0.3">
      <c r="A39" t="s">
        <v>31</v>
      </c>
      <c r="B39" t="s">
        <v>32</v>
      </c>
      <c r="C39" t="s">
        <v>33</v>
      </c>
      <c r="D39">
        <v>404322</v>
      </c>
      <c r="E39">
        <v>40.68</v>
      </c>
      <c r="F39">
        <v>-74.17</v>
      </c>
      <c r="G39">
        <v>2019</v>
      </c>
      <c r="H39" t="s">
        <v>16</v>
      </c>
      <c r="I39">
        <v>2718.9019611798399</v>
      </c>
      <c r="J39">
        <v>2820.115765</v>
      </c>
      <c r="K39">
        <v>101.21380382016014</v>
      </c>
      <c r="L39">
        <v>-3.6640806344699621E-2</v>
      </c>
      <c r="M39">
        <v>-3.4820664196297299E-2</v>
      </c>
      <c r="N39">
        <v>10652.3591270792</v>
      </c>
      <c r="O39">
        <v>8037.8656082992802</v>
      </c>
    </row>
    <row r="40" spans="1:15" x14ac:dyDescent="0.3">
      <c r="A40" t="s">
        <v>31</v>
      </c>
      <c r="B40" t="s">
        <v>32</v>
      </c>
      <c r="C40" t="s">
        <v>33</v>
      </c>
      <c r="D40">
        <v>404322</v>
      </c>
      <c r="E40">
        <v>40.68</v>
      </c>
      <c r="F40">
        <v>-74.17</v>
      </c>
      <c r="G40">
        <v>2020</v>
      </c>
      <c r="H40" t="s">
        <v>16</v>
      </c>
      <c r="I40">
        <v>2736.3098340758402</v>
      </c>
      <c r="J40">
        <v>2845.0364800000002</v>
      </c>
      <c r="K40">
        <v>108.72664592416004</v>
      </c>
      <c r="L40">
        <v>-3.2398059636093983E-2</v>
      </c>
      <c r="M40">
        <v>-2.0069985497583338E-2</v>
      </c>
      <c r="N40">
        <v>10724.2221178122</v>
      </c>
      <c r="O40">
        <v>8032.2993650892304</v>
      </c>
    </row>
    <row r="41" spans="1:15" x14ac:dyDescent="0.3">
      <c r="A41" t="s">
        <v>31</v>
      </c>
      <c r="B41" t="s">
        <v>32</v>
      </c>
      <c r="C41" t="s">
        <v>33</v>
      </c>
      <c r="D41">
        <v>404322</v>
      </c>
      <c r="E41">
        <v>40.68</v>
      </c>
      <c r="F41">
        <v>-74.17</v>
      </c>
      <c r="G41">
        <v>2021</v>
      </c>
      <c r="H41" t="s">
        <v>16</v>
      </c>
      <c r="I41">
        <v>2773.8667592438401</v>
      </c>
      <c r="J41">
        <v>2871.891995</v>
      </c>
      <c r="K41">
        <v>98.025235756159873</v>
      </c>
      <c r="L41">
        <v>-1.4935883200118164E-2</v>
      </c>
      <c r="M41">
        <v>-1.0323423746762527E-2</v>
      </c>
      <c r="N41">
        <v>10620.6721777846</v>
      </c>
      <c r="O41">
        <v>8141.2873496365501</v>
      </c>
    </row>
    <row r="42" spans="1:15" x14ac:dyDescent="0.3">
      <c r="A42" t="s">
        <v>31</v>
      </c>
      <c r="B42" t="s">
        <v>32</v>
      </c>
      <c r="C42" t="s">
        <v>33</v>
      </c>
      <c r="D42">
        <v>404322</v>
      </c>
      <c r="E42">
        <v>40.68</v>
      </c>
      <c r="F42">
        <v>-74.17</v>
      </c>
      <c r="G42">
        <v>2022</v>
      </c>
      <c r="H42" t="s">
        <v>16</v>
      </c>
      <c r="I42">
        <v>2939.5157987090802</v>
      </c>
      <c r="J42">
        <v>3042.2599270000001</v>
      </c>
      <c r="K42">
        <v>102.74412829091989</v>
      </c>
      <c r="L42">
        <v>3.4142380731813915E-2</v>
      </c>
      <c r="M42">
        <v>3.4084608796156254E-2</v>
      </c>
      <c r="N42">
        <v>10858.4625173846</v>
      </c>
      <c r="O42">
        <v>8605.6907093759401</v>
      </c>
    </row>
    <row r="43" spans="1:15" x14ac:dyDescent="0.3">
      <c r="A43" t="s">
        <v>31</v>
      </c>
      <c r="B43" t="s">
        <v>32</v>
      </c>
      <c r="C43" t="s">
        <v>33</v>
      </c>
      <c r="D43">
        <v>404322</v>
      </c>
      <c r="E43">
        <v>40.68</v>
      </c>
      <c r="F43">
        <v>-74.17</v>
      </c>
      <c r="G43">
        <v>2023</v>
      </c>
      <c r="H43" t="s">
        <v>16</v>
      </c>
      <c r="I43">
        <v>2784.5967191425002</v>
      </c>
      <c r="J43">
        <v>2889.9280039999999</v>
      </c>
      <c r="K43">
        <v>105.33128485749967</v>
      </c>
      <c r="L43">
        <v>-1.4534312588247899E-2</v>
      </c>
      <c r="M43">
        <v>-1.0832739114803772E-2</v>
      </c>
      <c r="N43">
        <v>10526.5484520516</v>
      </c>
      <c r="O43">
        <v>8181.5232049546303</v>
      </c>
    </row>
    <row r="44" spans="1:15" x14ac:dyDescent="0.3">
      <c r="A44" t="s">
        <v>34</v>
      </c>
      <c r="B44" t="s">
        <v>35</v>
      </c>
      <c r="C44" t="s">
        <v>36</v>
      </c>
      <c r="D44">
        <v>448494</v>
      </c>
      <c r="E44">
        <v>39.99</v>
      </c>
      <c r="F44">
        <v>-82.88</v>
      </c>
      <c r="G44">
        <v>2018</v>
      </c>
      <c r="H44" t="s">
        <v>16</v>
      </c>
      <c r="I44">
        <v>1239.4263699563501</v>
      </c>
      <c r="J44">
        <v>1240.513876</v>
      </c>
      <c r="K44">
        <v>1.0875060436499098</v>
      </c>
      <c r="L44">
        <v>-4.0500295464146338E-2</v>
      </c>
      <c r="M44">
        <v>-4.0034969235101574E-2</v>
      </c>
      <c r="N44">
        <v>10763.934895371</v>
      </c>
      <c r="O44">
        <v>7731.7197729364398</v>
      </c>
    </row>
    <row r="45" spans="1:15" x14ac:dyDescent="0.3">
      <c r="A45" t="s">
        <v>34</v>
      </c>
      <c r="B45" t="s">
        <v>35</v>
      </c>
      <c r="C45" t="s">
        <v>36</v>
      </c>
      <c r="D45">
        <v>448494</v>
      </c>
      <c r="E45">
        <v>39.99</v>
      </c>
      <c r="F45">
        <v>-82.88</v>
      </c>
      <c r="G45">
        <v>2019</v>
      </c>
      <c r="H45" t="s">
        <v>16</v>
      </c>
      <c r="I45">
        <v>1287.9673104180699</v>
      </c>
      <c r="J45">
        <v>1288.3549579999999</v>
      </c>
      <c r="K45">
        <v>0.38764758192996851</v>
      </c>
      <c r="L45">
        <v>1.6138169425752439E-3</v>
      </c>
      <c r="M45">
        <v>2.1254365946436087E-3</v>
      </c>
      <c r="N45">
        <v>10470.6085862419</v>
      </c>
      <c r="O45">
        <v>8031.4961671601504</v>
      </c>
    </row>
    <row r="46" spans="1:15" x14ac:dyDescent="0.3">
      <c r="A46" t="s">
        <v>34</v>
      </c>
      <c r="B46" t="s">
        <v>35</v>
      </c>
      <c r="C46" t="s">
        <v>36</v>
      </c>
      <c r="D46">
        <v>448494</v>
      </c>
      <c r="E46">
        <v>39.99</v>
      </c>
      <c r="F46">
        <v>-82.88</v>
      </c>
      <c r="G46">
        <v>2020</v>
      </c>
      <c r="H46" t="s">
        <v>16</v>
      </c>
      <c r="I46">
        <v>1233.81017644795</v>
      </c>
      <c r="J46">
        <v>1232.7841069999999</v>
      </c>
      <c r="K46">
        <v>-1.0260694479500216</v>
      </c>
      <c r="L46">
        <v>-3.965258628159208E-2</v>
      </c>
      <c r="M46">
        <v>-3.9338007359652517E-2</v>
      </c>
      <c r="N46">
        <v>10314.041517765199</v>
      </c>
      <c r="O46">
        <v>7701.0047790318904</v>
      </c>
    </row>
    <row r="47" spans="1:15" x14ac:dyDescent="0.3">
      <c r="A47" t="s">
        <v>34</v>
      </c>
      <c r="B47" t="s">
        <v>35</v>
      </c>
      <c r="C47" t="s">
        <v>36</v>
      </c>
      <c r="D47">
        <v>448494</v>
      </c>
      <c r="E47">
        <v>39.99</v>
      </c>
      <c r="F47">
        <v>-82.88</v>
      </c>
      <c r="G47">
        <v>2021</v>
      </c>
      <c r="H47" t="s">
        <v>16</v>
      </c>
      <c r="I47">
        <v>1321.34291601155</v>
      </c>
      <c r="J47">
        <v>1322.658504</v>
      </c>
      <c r="K47">
        <v>1.3155879884500337</v>
      </c>
      <c r="L47">
        <v>2.8406371528385974E-2</v>
      </c>
      <c r="M47">
        <v>2.9950028514866826E-2</v>
      </c>
      <c r="N47">
        <v>10366.993110727301</v>
      </c>
      <c r="O47">
        <v>8351.8812936241393</v>
      </c>
    </row>
    <row r="48" spans="1:15" x14ac:dyDescent="0.3">
      <c r="A48" t="s">
        <v>34</v>
      </c>
      <c r="B48" t="s">
        <v>35</v>
      </c>
      <c r="C48" t="s">
        <v>36</v>
      </c>
      <c r="D48">
        <v>448494</v>
      </c>
      <c r="E48">
        <v>39.99</v>
      </c>
      <c r="F48">
        <v>-82.88</v>
      </c>
      <c r="G48">
        <v>2022</v>
      </c>
      <c r="H48" t="s">
        <v>16</v>
      </c>
      <c r="I48">
        <v>1330.6201341962601</v>
      </c>
      <c r="J48">
        <v>1331.0527500000001</v>
      </c>
      <c r="K48">
        <v>0.43261580373996367</v>
      </c>
      <c r="L48">
        <v>3.2656030251496056E-2</v>
      </c>
      <c r="M48">
        <v>3.3232045984831732E-2</v>
      </c>
      <c r="N48">
        <v>10313.8170168544</v>
      </c>
      <c r="O48">
        <v>8335.1619279701208</v>
      </c>
    </row>
    <row r="49" spans="1:15" x14ac:dyDescent="0.3">
      <c r="A49" t="s">
        <v>34</v>
      </c>
      <c r="B49" t="s">
        <v>35</v>
      </c>
      <c r="C49" t="s">
        <v>36</v>
      </c>
      <c r="D49">
        <v>448494</v>
      </c>
      <c r="E49">
        <v>39.99</v>
      </c>
      <c r="F49">
        <v>-82.88</v>
      </c>
      <c r="G49">
        <v>2023</v>
      </c>
      <c r="H49" t="s">
        <v>16</v>
      </c>
      <c r="I49">
        <v>1308.2320959031099</v>
      </c>
      <c r="J49">
        <v>1306.911276</v>
      </c>
      <c r="K49">
        <v>-1.3208199031098502</v>
      </c>
      <c r="L49">
        <v>1.79000317556544E-2</v>
      </c>
      <c r="M49">
        <v>1.6864169774208067E-2</v>
      </c>
      <c r="N49">
        <v>10195.4635186588</v>
      </c>
      <c r="O49">
        <v>8222.7113154047292</v>
      </c>
    </row>
    <row r="50" spans="1:15" x14ac:dyDescent="0.3">
      <c r="A50" t="s">
        <v>37</v>
      </c>
      <c r="B50" t="s">
        <v>38</v>
      </c>
      <c r="C50" t="s">
        <v>39</v>
      </c>
      <c r="D50">
        <v>67263</v>
      </c>
      <c r="E50">
        <v>45.59</v>
      </c>
      <c r="F50">
        <v>-122.6</v>
      </c>
      <c r="G50">
        <v>2018</v>
      </c>
      <c r="H50" t="s">
        <v>16</v>
      </c>
      <c r="I50">
        <v>967.29298030415703</v>
      </c>
      <c r="J50">
        <v>1415.759274</v>
      </c>
      <c r="K50">
        <v>448.46629369584298</v>
      </c>
      <c r="L50">
        <v>-2.2820148084765703E-2</v>
      </c>
      <c r="M50">
        <v>4.8790274680731559E-3</v>
      </c>
      <c r="N50">
        <v>11053.286354645799</v>
      </c>
      <c r="O50">
        <v>7517.6058858993201</v>
      </c>
    </row>
    <row r="51" spans="1:15" x14ac:dyDescent="0.3">
      <c r="A51" t="s">
        <v>37</v>
      </c>
      <c r="B51" t="s">
        <v>38</v>
      </c>
      <c r="C51" t="s">
        <v>39</v>
      </c>
      <c r="D51">
        <v>67263</v>
      </c>
      <c r="E51">
        <v>45.59</v>
      </c>
      <c r="F51">
        <v>-122.6</v>
      </c>
      <c r="G51">
        <v>2019</v>
      </c>
      <c r="H51" t="s">
        <v>16</v>
      </c>
      <c r="I51">
        <v>946.696763311533</v>
      </c>
      <c r="J51">
        <v>1386.38024</v>
      </c>
      <c r="K51">
        <v>439.68347668846695</v>
      </c>
      <c r="L51">
        <v>-1.2431067258124725E-2</v>
      </c>
      <c r="M51">
        <v>1.8331044936387646E-2</v>
      </c>
      <c r="N51">
        <v>10917.6655449929</v>
      </c>
      <c r="O51">
        <v>7367.7896287339499</v>
      </c>
    </row>
    <row r="52" spans="1:15" x14ac:dyDescent="0.3">
      <c r="A52" t="s">
        <v>37</v>
      </c>
      <c r="B52" t="s">
        <v>38</v>
      </c>
      <c r="C52" t="s">
        <v>39</v>
      </c>
      <c r="D52">
        <v>67263</v>
      </c>
      <c r="E52">
        <v>45.59</v>
      </c>
      <c r="F52">
        <v>-122.6</v>
      </c>
      <c r="G52">
        <v>2020</v>
      </c>
      <c r="H52" t="s">
        <v>16</v>
      </c>
      <c r="I52">
        <v>948.96772941420204</v>
      </c>
      <c r="J52">
        <v>1384.5514700000001</v>
      </c>
      <c r="K52">
        <v>435.58374058579807</v>
      </c>
      <c r="L52">
        <v>-1.295010019971332E-2</v>
      </c>
      <c r="M52">
        <v>1.4977987613582718E-2</v>
      </c>
      <c r="N52">
        <v>10761.7169656023</v>
      </c>
      <c r="O52">
        <v>7490.5853836996503</v>
      </c>
    </row>
    <row r="53" spans="1:15" x14ac:dyDescent="0.3">
      <c r="A53" t="s">
        <v>37</v>
      </c>
      <c r="B53" t="s">
        <v>38</v>
      </c>
      <c r="C53" t="s">
        <v>39</v>
      </c>
      <c r="D53">
        <v>67263</v>
      </c>
      <c r="E53">
        <v>45.59</v>
      </c>
      <c r="F53">
        <v>-122.6</v>
      </c>
      <c r="G53">
        <v>2021</v>
      </c>
      <c r="H53" t="s">
        <v>16</v>
      </c>
      <c r="I53">
        <v>1016.6565278611901</v>
      </c>
      <c r="J53">
        <v>1448.6985850000001</v>
      </c>
      <c r="K53">
        <v>432.04205713881004</v>
      </c>
      <c r="L53">
        <v>-4.5403014600514362E-3</v>
      </c>
      <c r="M53">
        <v>1.95485130455389E-3</v>
      </c>
      <c r="N53">
        <v>11433.276848698</v>
      </c>
      <c r="O53">
        <v>7658.5613024061604</v>
      </c>
    </row>
    <row r="54" spans="1:15" x14ac:dyDescent="0.3">
      <c r="A54" t="s">
        <v>37</v>
      </c>
      <c r="B54" t="s">
        <v>38</v>
      </c>
      <c r="C54" t="s">
        <v>39</v>
      </c>
      <c r="D54">
        <v>67263</v>
      </c>
      <c r="E54">
        <v>45.59</v>
      </c>
      <c r="F54">
        <v>-122.6</v>
      </c>
      <c r="G54">
        <v>2022</v>
      </c>
      <c r="H54" t="s">
        <v>16</v>
      </c>
      <c r="I54">
        <v>1017.92035436438</v>
      </c>
      <c r="J54">
        <v>1477.219047</v>
      </c>
      <c r="K54">
        <v>459.29869263562</v>
      </c>
      <c r="L54">
        <v>5.1855356763316034E-3</v>
      </c>
      <c r="M54">
        <v>2.9737427577340231E-2</v>
      </c>
      <c r="N54">
        <v>11373.105412045201</v>
      </c>
      <c r="O54">
        <v>7610.1321043795197</v>
      </c>
    </row>
    <row r="55" spans="1:15" x14ac:dyDescent="0.3">
      <c r="A55" t="s">
        <v>37</v>
      </c>
      <c r="B55" t="s">
        <v>38</v>
      </c>
      <c r="C55" t="s">
        <v>39</v>
      </c>
      <c r="D55">
        <v>67263</v>
      </c>
      <c r="E55">
        <v>45.59</v>
      </c>
      <c r="F55">
        <v>-122.6</v>
      </c>
      <c r="G55">
        <v>2023</v>
      </c>
      <c r="H55" t="s">
        <v>16</v>
      </c>
      <c r="I55">
        <v>1014.61500068959</v>
      </c>
      <c r="J55">
        <v>1437.9945299999999</v>
      </c>
      <c r="K55">
        <v>423.37952931040991</v>
      </c>
      <c r="L55">
        <v>1.5705469125648325E-2</v>
      </c>
      <c r="M55">
        <v>1.2578897932242612E-2</v>
      </c>
      <c r="N55">
        <v>11288.5906586286</v>
      </c>
      <c r="O55">
        <v>7762.9273341253802</v>
      </c>
    </row>
    <row r="56" spans="1:15" x14ac:dyDescent="0.3">
      <c r="A56" t="s">
        <v>40</v>
      </c>
      <c r="B56" t="s">
        <v>41</v>
      </c>
      <c r="C56" t="s">
        <v>25</v>
      </c>
      <c r="D56">
        <v>168160</v>
      </c>
      <c r="E56">
        <v>35.22</v>
      </c>
      <c r="F56">
        <v>-101.71</v>
      </c>
      <c r="G56">
        <v>2018</v>
      </c>
      <c r="H56" t="s">
        <v>16</v>
      </c>
      <c r="I56">
        <v>1133.4029516651999</v>
      </c>
      <c r="J56">
        <v>1151.396626</v>
      </c>
      <c r="K56">
        <v>17.993674334800062</v>
      </c>
      <c r="L56">
        <v>1.6941800529378239E-2</v>
      </c>
      <c r="M56">
        <v>1.4679902921903359E-2</v>
      </c>
      <c r="N56">
        <v>11793.4222320566</v>
      </c>
      <c r="O56">
        <v>10896.0305134438</v>
      </c>
    </row>
    <row r="57" spans="1:15" x14ac:dyDescent="0.3">
      <c r="A57" t="s">
        <v>40</v>
      </c>
      <c r="B57" t="s">
        <v>41</v>
      </c>
      <c r="C57" t="s">
        <v>25</v>
      </c>
      <c r="D57">
        <v>168160</v>
      </c>
      <c r="E57">
        <v>35.22</v>
      </c>
      <c r="F57">
        <v>-101.71</v>
      </c>
      <c r="G57">
        <v>2019</v>
      </c>
      <c r="H57" t="s">
        <v>16</v>
      </c>
      <c r="I57">
        <v>1102.1899927695599</v>
      </c>
      <c r="J57">
        <v>1115.540696</v>
      </c>
      <c r="K57">
        <v>13.350703230440104</v>
      </c>
      <c r="L57">
        <v>-1.8338239588900553E-2</v>
      </c>
      <c r="M57">
        <v>-1.8280945780087609E-2</v>
      </c>
      <c r="N57">
        <v>11495.7243308946</v>
      </c>
      <c r="O57">
        <v>10725.060852325199</v>
      </c>
    </row>
    <row r="58" spans="1:15" x14ac:dyDescent="0.3">
      <c r="A58" t="s">
        <v>40</v>
      </c>
      <c r="B58" t="s">
        <v>41</v>
      </c>
      <c r="C58" t="s">
        <v>25</v>
      </c>
      <c r="D58">
        <v>168160</v>
      </c>
      <c r="E58">
        <v>35.22</v>
      </c>
      <c r="F58">
        <v>-101.71</v>
      </c>
      <c r="G58">
        <v>2020</v>
      </c>
      <c r="H58" t="s">
        <v>16</v>
      </c>
      <c r="I58">
        <v>1144.5639919533801</v>
      </c>
      <c r="J58">
        <v>1162.715944</v>
      </c>
      <c r="K58">
        <v>18.151952046619954</v>
      </c>
      <c r="L58">
        <v>5.0312361555554137E-3</v>
      </c>
      <c r="M58">
        <v>5.585336326212437E-3</v>
      </c>
      <c r="N58">
        <v>11841.675346030701</v>
      </c>
      <c r="O58">
        <v>11154.431047558401</v>
      </c>
    </row>
    <row r="59" spans="1:15" x14ac:dyDescent="0.3">
      <c r="A59" t="s">
        <v>40</v>
      </c>
      <c r="B59" t="s">
        <v>41</v>
      </c>
      <c r="C59" t="s">
        <v>25</v>
      </c>
      <c r="D59">
        <v>168160</v>
      </c>
      <c r="E59">
        <v>35.22</v>
      </c>
      <c r="F59">
        <v>-101.71</v>
      </c>
      <c r="G59">
        <v>2021</v>
      </c>
      <c r="H59" t="s">
        <v>16</v>
      </c>
      <c r="I59">
        <v>1109.25885150366</v>
      </c>
      <c r="J59">
        <v>1124.1922489999999</v>
      </c>
      <c r="K59">
        <v>14.933397496339921</v>
      </c>
      <c r="L59">
        <v>-7.4889023245124633E-3</v>
      </c>
      <c r="M59">
        <v>-7.1371180065979839E-3</v>
      </c>
      <c r="N59">
        <v>11437.471072709601</v>
      </c>
      <c r="O59">
        <v>11020.131276384</v>
      </c>
    </row>
    <row r="60" spans="1:15" x14ac:dyDescent="0.3">
      <c r="A60" t="s">
        <v>40</v>
      </c>
      <c r="B60" t="s">
        <v>41</v>
      </c>
      <c r="C60" t="s">
        <v>25</v>
      </c>
      <c r="D60">
        <v>168160</v>
      </c>
      <c r="E60">
        <v>35.22</v>
      </c>
      <c r="F60">
        <v>-101.71</v>
      </c>
      <c r="G60">
        <v>2022</v>
      </c>
      <c r="H60" t="s">
        <v>16</v>
      </c>
      <c r="I60">
        <v>1174.4839412394599</v>
      </c>
      <c r="J60">
        <v>1186.8080440000001</v>
      </c>
      <c r="K60">
        <v>12.3241027605402</v>
      </c>
      <c r="L60">
        <v>3.4595551207785777E-2</v>
      </c>
      <c r="M60">
        <v>3.0181270806284115E-2</v>
      </c>
      <c r="N60">
        <v>12232.5623069919</v>
      </c>
      <c r="O60">
        <v>11221.6557741988</v>
      </c>
    </row>
    <row r="61" spans="1:15" x14ac:dyDescent="0.3">
      <c r="A61" t="s">
        <v>40</v>
      </c>
      <c r="B61" t="s">
        <v>41</v>
      </c>
      <c r="C61" t="s">
        <v>25</v>
      </c>
      <c r="D61">
        <v>168160</v>
      </c>
      <c r="E61">
        <v>35.22</v>
      </c>
      <c r="F61">
        <v>-101.71</v>
      </c>
      <c r="G61">
        <v>2023</v>
      </c>
      <c r="H61" t="s">
        <v>16</v>
      </c>
      <c r="I61">
        <v>1138.72925218308</v>
      </c>
      <c r="J61">
        <v>1151.923503</v>
      </c>
      <c r="K61">
        <v>13.194250816919975</v>
      </c>
      <c r="L61">
        <v>1.3551095907069239E-3</v>
      </c>
      <c r="M61">
        <v>1.6439372869048458E-3</v>
      </c>
      <c r="N61">
        <v>11854.743329131001</v>
      </c>
      <c r="O61">
        <v>11162.804514433499</v>
      </c>
    </row>
    <row r="62" spans="1:15" x14ac:dyDescent="0.3">
      <c r="A62" t="s">
        <v>42</v>
      </c>
      <c r="B62" t="s">
        <v>43</v>
      </c>
      <c r="C62" t="s">
        <v>44</v>
      </c>
      <c r="D62">
        <v>1652</v>
      </c>
      <c r="E62">
        <v>44.47</v>
      </c>
      <c r="F62">
        <v>-73.150000000000006</v>
      </c>
      <c r="G62">
        <v>2018</v>
      </c>
      <c r="H62" t="s">
        <v>16</v>
      </c>
      <c r="I62">
        <v>1431.62906636412</v>
      </c>
      <c r="J62">
        <v>1508.9474749999999</v>
      </c>
      <c r="K62">
        <v>77.318408635879905</v>
      </c>
      <c r="L62">
        <v>-3.7862064564536051E-2</v>
      </c>
      <c r="M62">
        <v>-2.9290650867011801E-2</v>
      </c>
      <c r="N62">
        <v>11230.828928365299</v>
      </c>
      <c r="O62">
        <v>7545.0703052098997</v>
      </c>
    </row>
    <row r="63" spans="1:15" x14ac:dyDescent="0.3">
      <c r="A63" t="s">
        <v>42</v>
      </c>
      <c r="B63" t="s">
        <v>43</v>
      </c>
      <c r="C63" t="s">
        <v>44</v>
      </c>
      <c r="D63">
        <v>1652</v>
      </c>
      <c r="E63">
        <v>44.47</v>
      </c>
      <c r="F63">
        <v>-73.150000000000006</v>
      </c>
      <c r="G63">
        <v>2019</v>
      </c>
      <c r="H63" t="s">
        <v>16</v>
      </c>
      <c r="I63">
        <v>1472.9920104165601</v>
      </c>
      <c r="J63">
        <v>1550.68228</v>
      </c>
      <c r="K63">
        <v>77.690269583439886</v>
      </c>
      <c r="L63">
        <v>-9.3762653662184739E-3</v>
      </c>
      <c r="M63">
        <v>-2.3807590436054289E-4</v>
      </c>
      <c r="N63">
        <v>11180.767896023501</v>
      </c>
      <c r="O63">
        <v>7718.5602043873496</v>
      </c>
    </row>
    <row r="64" spans="1:15" x14ac:dyDescent="0.3">
      <c r="A64" t="s">
        <v>42</v>
      </c>
      <c r="B64" t="s">
        <v>43</v>
      </c>
      <c r="C64" t="s">
        <v>44</v>
      </c>
      <c r="D64">
        <v>1652</v>
      </c>
      <c r="E64">
        <v>44.47</v>
      </c>
      <c r="F64">
        <v>-73.150000000000006</v>
      </c>
      <c r="G64">
        <v>2020</v>
      </c>
      <c r="H64" t="s">
        <v>16</v>
      </c>
      <c r="I64">
        <v>1445.00209009591</v>
      </c>
      <c r="J64">
        <v>1512.4100249999999</v>
      </c>
      <c r="K64">
        <v>67.407934904089871</v>
      </c>
      <c r="L64">
        <v>-2.9228108673362473E-2</v>
      </c>
      <c r="M64">
        <v>-2.7394803890668035E-2</v>
      </c>
      <c r="N64">
        <v>11078.54061315</v>
      </c>
      <c r="O64">
        <v>7556.4483592126799</v>
      </c>
    </row>
    <row r="65" spans="1:15" x14ac:dyDescent="0.3">
      <c r="A65" t="s">
        <v>42</v>
      </c>
      <c r="B65" t="s">
        <v>43</v>
      </c>
      <c r="C65" t="s">
        <v>44</v>
      </c>
      <c r="D65">
        <v>1652</v>
      </c>
      <c r="E65">
        <v>44.47</v>
      </c>
      <c r="F65">
        <v>-73.150000000000006</v>
      </c>
      <c r="G65">
        <v>2021</v>
      </c>
      <c r="H65" t="s">
        <v>16</v>
      </c>
      <c r="I65">
        <v>1462.7896313410899</v>
      </c>
      <c r="J65">
        <v>1534.895113</v>
      </c>
      <c r="K65">
        <v>72.105481658910094</v>
      </c>
      <c r="L65">
        <v>-1.7342229620750937E-2</v>
      </c>
      <c r="M65">
        <v>-1.196418368353553E-2</v>
      </c>
      <c r="N65">
        <v>11087.8915680175</v>
      </c>
      <c r="O65">
        <v>7588.4673594527303</v>
      </c>
    </row>
    <row r="66" spans="1:15" x14ac:dyDescent="0.3">
      <c r="A66" t="s">
        <v>42</v>
      </c>
      <c r="B66" t="s">
        <v>43</v>
      </c>
      <c r="C66" t="s">
        <v>44</v>
      </c>
      <c r="D66">
        <v>1652</v>
      </c>
      <c r="E66">
        <v>44.47</v>
      </c>
      <c r="F66">
        <v>-73.150000000000006</v>
      </c>
      <c r="G66">
        <v>2022</v>
      </c>
      <c r="H66" t="s">
        <v>16</v>
      </c>
      <c r="I66">
        <v>1502.77109080744</v>
      </c>
      <c r="J66">
        <v>1586.5723250000001</v>
      </c>
      <c r="K66">
        <v>83.801234192560059</v>
      </c>
      <c r="L66">
        <v>9.6637146616153236E-3</v>
      </c>
      <c r="M66">
        <v>2.1378857905397279E-2</v>
      </c>
      <c r="N66">
        <v>11140.0472819059</v>
      </c>
      <c r="O66">
        <v>7848.7365340635297</v>
      </c>
    </row>
    <row r="67" spans="1:15" x14ac:dyDescent="0.3">
      <c r="A67" t="s">
        <v>42</v>
      </c>
      <c r="B67" t="s">
        <v>43</v>
      </c>
      <c r="C67" t="s">
        <v>44</v>
      </c>
      <c r="D67">
        <v>1652</v>
      </c>
      <c r="E67">
        <v>44.47</v>
      </c>
      <c r="F67">
        <v>-73.150000000000006</v>
      </c>
      <c r="G67">
        <v>2023</v>
      </c>
      <c r="H67" t="s">
        <v>16</v>
      </c>
      <c r="I67">
        <v>1324.1769493174299</v>
      </c>
      <c r="J67">
        <v>1394.783418</v>
      </c>
      <c r="K67">
        <v>70.606468682570039</v>
      </c>
      <c r="L67">
        <v>-0.10938715471535509</v>
      </c>
      <c r="M67">
        <v>-0.10086142477012301</v>
      </c>
      <c r="N67">
        <v>11053.551265272499</v>
      </c>
      <c r="O67">
        <v>6978.2580819581699</v>
      </c>
    </row>
    <row r="68" spans="1:15" x14ac:dyDescent="0.3">
      <c r="A68" t="s">
        <v>45</v>
      </c>
      <c r="B68" t="s">
        <v>46</v>
      </c>
      <c r="C68" t="s">
        <v>47</v>
      </c>
      <c r="D68">
        <v>467842</v>
      </c>
      <c r="E68">
        <v>42.95</v>
      </c>
      <c r="F68">
        <v>-87.9</v>
      </c>
      <c r="G68">
        <v>2018</v>
      </c>
      <c r="H68" t="s">
        <v>16</v>
      </c>
      <c r="I68">
        <v>1382.8096228775601</v>
      </c>
      <c r="J68">
        <v>1383.5396069999999</v>
      </c>
      <c r="K68">
        <v>0.72998412243987332</v>
      </c>
      <c r="L68">
        <v>-2.2053549509836331E-3</v>
      </c>
      <c r="M68">
        <v>-1.8293530890518101E-3</v>
      </c>
      <c r="N68">
        <v>10793.2600243298</v>
      </c>
      <c r="O68">
        <v>8261.60328840681</v>
      </c>
    </row>
    <row r="69" spans="1:15" x14ac:dyDescent="0.3">
      <c r="A69" t="s">
        <v>45</v>
      </c>
      <c r="B69" t="s">
        <v>46</v>
      </c>
      <c r="C69" t="s">
        <v>47</v>
      </c>
      <c r="D69">
        <v>467842</v>
      </c>
      <c r="E69">
        <v>42.95</v>
      </c>
      <c r="F69">
        <v>-87.9</v>
      </c>
      <c r="G69">
        <v>2019</v>
      </c>
      <c r="H69" t="s">
        <v>16</v>
      </c>
      <c r="I69">
        <v>1325.22770193879</v>
      </c>
      <c r="J69">
        <v>1325.5970870000001</v>
      </c>
      <c r="K69">
        <v>0.36938506121009596</v>
      </c>
      <c r="L69">
        <v>-2.102557618099354E-2</v>
      </c>
      <c r="M69">
        <v>-2.1127318542503003E-2</v>
      </c>
      <c r="N69">
        <v>10393.3235858157</v>
      </c>
      <c r="O69">
        <v>7831.3854285038597</v>
      </c>
    </row>
    <row r="70" spans="1:15" x14ac:dyDescent="0.3">
      <c r="A70" t="s">
        <v>45</v>
      </c>
      <c r="B70" t="s">
        <v>46</v>
      </c>
      <c r="C70" t="s">
        <v>47</v>
      </c>
      <c r="D70">
        <v>467842</v>
      </c>
      <c r="E70">
        <v>42.95</v>
      </c>
      <c r="F70">
        <v>-87.9</v>
      </c>
      <c r="G70">
        <v>2020</v>
      </c>
      <c r="H70" t="s">
        <v>16</v>
      </c>
      <c r="I70">
        <v>1381.2887357111699</v>
      </c>
      <c r="J70">
        <v>1381.9242899999999</v>
      </c>
      <c r="K70">
        <v>0.63555428883000786</v>
      </c>
      <c r="L70">
        <v>-8.6891401497795533E-4</v>
      </c>
      <c r="M70">
        <v>-1.1014479078907589E-3</v>
      </c>
      <c r="N70">
        <v>10640.8883758716</v>
      </c>
      <c r="O70">
        <v>8311.2323929285394</v>
      </c>
    </row>
    <row r="71" spans="1:15" x14ac:dyDescent="0.3">
      <c r="A71" t="s">
        <v>45</v>
      </c>
      <c r="B71" t="s">
        <v>46</v>
      </c>
      <c r="C71" t="s">
        <v>47</v>
      </c>
      <c r="D71">
        <v>467842</v>
      </c>
      <c r="E71">
        <v>42.95</v>
      </c>
      <c r="F71">
        <v>-87.9</v>
      </c>
      <c r="G71">
        <v>2021</v>
      </c>
      <c r="H71" t="s">
        <v>16</v>
      </c>
      <c r="I71">
        <v>1409.68444865829</v>
      </c>
      <c r="J71">
        <v>1410.9046679999999</v>
      </c>
      <c r="K71">
        <v>1.2202193417099352</v>
      </c>
      <c r="L71">
        <v>1.5284882156616088E-2</v>
      </c>
      <c r="M71">
        <v>1.5440045515400231E-2</v>
      </c>
      <c r="N71">
        <v>10942.843595998</v>
      </c>
      <c r="O71">
        <v>8448.4239579038695</v>
      </c>
    </row>
    <row r="72" spans="1:15" x14ac:dyDescent="0.3">
      <c r="A72" t="s">
        <v>45</v>
      </c>
      <c r="B72" t="s">
        <v>46</v>
      </c>
      <c r="C72" t="s">
        <v>47</v>
      </c>
      <c r="D72">
        <v>467842</v>
      </c>
      <c r="E72">
        <v>42.95</v>
      </c>
      <c r="F72">
        <v>-87.9</v>
      </c>
      <c r="G72">
        <v>2022</v>
      </c>
      <c r="H72" t="s">
        <v>16</v>
      </c>
      <c r="I72">
        <v>1361.79495169445</v>
      </c>
      <c r="J72">
        <v>1362.690245</v>
      </c>
      <c r="K72">
        <v>0.89529330555001252</v>
      </c>
      <c r="L72">
        <v>-1.9862971145721532E-2</v>
      </c>
      <c r="M72">
        <v>-1.9730767570395991E-2</v>
      </c>
      <c r="N72">
        <v>10779.3122431476</v>
      </c>
      <c r="O72">
        <v>7999.7489631912404</v>
      </c>
    </row>
    <row r="73" spans="1:15" x14ac:dyDescent="0.3">
      <c r="A73" t="s">
        <v>45</v>
      </c>
      <c r="B73" t="s">
        <v>46</v>
      </c>
      <c r="C73" t="s">
        <v>47</v>
      </c>
      <c r="D73">
        <v>467842</v>
      </c>
      <c r="E73">
        <v>42.95</v>
      </c>
      <c r="F73">
        <v>-87.9</v>
      </c>
      <c r="G73">
        <v>2023</v>
      </c>
      <c r="H73" t="s">
        <v>16</v>
      </c>
      <c r="I73">
        <v>1353.03356227319</v>
      </c>
      <c r="J73">
        <v>1353.759861</v>
      </c>
      <c r="K73">
        <v>0.72629872681000052</v>
      </c>
      <c r="L73">
        <v>-2.4211046136874213E-2</v>
      </c>
      <c r="M73">
        <v>-2.396595196409464E-2</v>
      </c>
      <c r="N73">
        <v>10714.602187995501</v>
      </c>
      <c r="O73">
        <v>8143.4266222157603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C9FE-ED0D-4347-84E9-20AF1CDFC366}">
  <dimension ref="A1:P97"/>
  <sheetViews>
    <sheetView tabSelected="1" topLeftCell="A73" zoomScale="90" workbookViewId="0">
      <selection activeCell="H96" sqref="H96"/>
    </sheetView>
  </sheetViews>
  <sheetFormatPr defaultRowHeight="14.4" x14ac:dyDescent="0.3"/>
  <cols>
    <col min="2" max="2" width="12.109375" bestFit="1" customWidth="1"/>
    <col min="3" max="3" width="11" bestFit="1" customWidth="1"/>
    <col min="4" max="4" width="12" bestFit="1" customWidth="1"/>
    <col min="5" max="5" width="12.6640625" bestFit="1" customWidth="1"/>
    <col min="9" max="10" width="11" bestFit="1" customWidth="1"/>
    <col min="11" max="11" width="10.6640625" bestFit="1" customWidth="1"/>
    <col min="12" max="12" width="11.109375" bestFit="1" customWidth="1"/>
    <col min="13" max="13" width="11.6640625" bestFit="1" customWidth="1"/>
  </cols>
  <sheetData>
    <row r="1" spans="1:16" x14ac:dyDescent="0.3">
      <c r="A1" t="s">
        <v>59</v>
      </c>
      <c r="B1" t="s">
        <v>53</v>
      </c>
      <c r="C1" t="s">
        <v>69</v>
      </c>
      <c r="D1" t="s">
        <v>54</v>
      </c>
      <c r="E1" t="s">
        <v>61</v>
      </c>
      <c r="F1" t="s">
        <v>69</v>
      </c>
      <c r="G1" t="s">
        <v>62</v>
      </c>
      <c r="H1" t="s">
        <v>55</v>
      </c>
      <c r="I1" t="s">
        <v>69</v>
      </c>
      <c r="J1" t="s">
        <v>56</v>
      </c>
      <c r="K1" t="s">
        <v>57</v>
      </c>
      <c r="L1" t="s">
        <v>69</v>
      </c>
      <c r="M1" t="s">
        <v>58</v>
      </c>
      <c r="N1" t="s">
        <v>74</v>
      </c>
      <c r="P1" t="s">
        <v>75</v>
      </c>
    </row>
    <row r="2" spans="1:16" x14ac:dyDescent="0.3">
      <c r="A2" t="s">
        <v>52</v>
      </c>
      <c r="B2">
        <f>MEDIAN('Analysis-TMY only'!I20:I25)</f>
        <v>1432.2930208712501</v>
      </c>
      <c r="D2">
        <f>MEDIAN('Analysis-AMY only'!I20:I25)</f>
        <v>1479.2374069294601</v>
      </c>
      <c r="E2">
        <f>MEDIAN('Analysis-TMY only'!I44:I49)</f>
        <v>1285.55930833097</v>
      </c>
      <c r="G2">
        <f>MEDIAN('Analysis-AMY only'!I44:I49)</f>
        <v>1298.0997031605898</v>
      </c>
      <c r="H2">
        <f>MEDIAN('Analysis-TMY only'!I14:I19)</f>
        <v>2767.7672407571649</v>
      </c>
      <c r="J2">
        <f>MEDIAN('Analysis-AMY only'!I14:I19)</f>
        <v>2823.3725282312953</v>
      </c>
      <c r="K2">
        <f>MEDIAN('Analysis-TMY only'!I8:I13)</f>
        <v>914.57619215884097</v>
      </c>
      <c r="M2">
        <f>MEDIAN('Analysis-AMY only'!I8:I13)</f>
        <v>936.81158920255348</v>
      </c>
      <c r="N2">
        <f>MEDIAN('Analysis-TMY only'!I2:I7)</f>
        <v>815.13799042565051</v>
      </c>
      <c r="P2">
        <f>MEDIAN('Analysis-AMY only'!I2:I7)</f>
        <v>833.13144217326601</v>
      </c>
    </row>
    <row r="3" spans="1:16" x14ac:dyDescent="0.3">
      <c r="A3">
        <v>2018</v>
      </c>
      <c r="B3">
        <f>'Analysis-TMY only'!I20-Graphics!$B$2</f>
        <v>0</v>
      </c>
      <c r="C3">
        <f>'Analysis-AMY only'!I20-Graphics!$B$2</f>
        <v>30.879157353369919</v>
      </c>
      <c r="D3">
        <f>'Analysis-AMY only'!I20-Graphics!D$2</f>
        <v>-16.065228704840138</v>
      </c>
      <c r="E3">
        <f>'Analysis-TMY only'!I44-Graphics!E$2</f>
        <v>6.1830070623500433</v>
      </c>
      <c r="F3">
        <f>'Analysis-AMY only'!I44-Graphics!E$2</f>
        <v>-46.132938374619926</v>
      </c>
      <c r="G3">
        <f>'Analysis-AMY only'!I44-Graphics!G$2</f>
        <v>-58.673333204239725</v>
      </c>
      <c r="H3">
        <f>'Analysis-TMY only'!I14-Graphics!H$2</f>
        <v>16.258223677954902</v>
      </c>
      <c r="I3">
        <f>'Analysis-AMY only'!I14-Graphics!H$2</f>
        <v>71.34668854997517</v>
      </c>
      <c r="J3">
        <f>'Analysis-AMY only'!I14-Graphics!J$2</f>
        <v>15.741401075844806</v>
      </c>
      <c r="K3">
        <f>'Analysis-TMY only'!I8-Graphics!K$2</f>
        <v>10.363239815516067</v>
      </c>
      <c r="L3">
        <f>'Analysis-AMY only'!I8-Graphics!K$2</f>
        <v>17.593784553282035</v>
      </c>
      <c r="M3">
        <f>'Analysis-AMY only'!I8-Graphics!M$2</f>
        <v>-4.6416124904304752</v>
      </c>
      <c r="N3">
        <f>'Analysis-TMY only'!I2-Graphics!N$2</f>
        <v>8.1547759255414576</v>
      </c>
      <c r="O3">
        <f>'Analysis-AMY only'!I2-Graphics!N$2</f>
        <v>7.1098755877865187</v>
      </c>
      <c r="P3">
        <f>'Analysis-AMY only'!I2-Graphics!P$2</f>
        <v>-10.883576159828976</v>
      </c>
    </row>
    <row r="4" spans="1:16" x14ac:dyDescent="0.3">
      <c r="A4">
        <f>A3+1</f>
        <v>2019</v>
      </c>
      <c r="B4">
        <f>'Analysis-TMY only'!I21-Graphics!$B$2</f>
        <v>0</v>
      </c>
      <c r="C4">
        <f>'Analysis-AMY only'!I21-Graphics!$B$2</f>
        <v>15.007433166759938</v>
      </c>
      <c r="D4">
        <f>'Analysis-AMY only'!I21-Graphics!D$2</f>
        <v>-31.936952891450119</v>
      </c>
      <c r="E4">
        <f>'Analysis-TMY only'!I45-Graphics!E$2</f>
        <v>0.33280760408001697</v>
      </c>
      <c r="F4">
        <f>'Analysis-AMY only'!I45-Graphics!E$2</f>
        <v>2.4080020870999306</v>
      </c>
      <c r="G4">
        <f>'Analysis-AMY only'!I45-Graphics!G$2</f>
        <v>-10.132392742519869</v>
      </c>
      <c r="H4">
        <f>'Analysis-TMY only'!I15-Graphics!H$2</f>
        <v>-82.196984027415056</v>
      </c>
      <c r="I4">
        <f>'Analysis-AMY only'!I15-Graphics!H$2</f>
        <v>-24.572382077435122</v>
      </c>
      <c r="J4">
        <f>'Analysis-AMY only'!I15-Graphics!J$2</f>
        <v>-80.177669551565486</v>
      </c>
      <c r="K4">
        <f>'Analysis-TMY only'!I9-Graphics!K$2</f>
        <v>8.1157287630970814</v>
      </c>
      <c r="L4">
        <f>'Analysis-AMY only'!I9-Graphics!K$2</f>
        <v>14.459008620451073</v>
      </c>
      <c r="M4">
        <f>'Analysis-AMY only'!I9-Graphics!M$2</f>
        <v>-7.7763884232614373</v>
      </c>
      <c r="N4">
        <f>'Analysis-TMY only'!I3-Graphics!N$2</f>
        <v>15.216469578762485</v>
      </c>
      <c r="O4">
        <f>'Analysis-AMY only'!I3-Graphics!N$2</f>
        <v>28.877027907444472</v>
      </c>
      <c r="P4">
        <f>'Analysis-AMY only'!I3-Graphics!P$2</f>
        <v>10.883576159828976</v>
      </c>
    </row>
    <row r="5" spans="1:16" x14ac:dyDescent="0.3">
      <c r="A5">
        <f t="shared" ref="A5:A8" si="0">A4+1</f>
        <v>2020</v>
      </c>
      <c r="B5">
        <f>'Analysis-TMY only'!I22-Graphics!$B$2</f>
        <v>0</v>
      </c>
      <c r="C5">
        <f>'Analysis-AMY only'!I22-Graphics!$B$2</f>
        <v>55.848395936309998</v>
      </c>
      <c r="D5">
        <f>'Analysis-AMY only'!I22-Graphics!D$2</f>
        <v>8.9040098780999415</v>
      </c>
      <c r="E5">
        <f>'Analysis-TMY only'!I46-Graphics!E$2</f>
        <v>-0.80531324214007327</v>
      </c>
      <c r="F5">
        <f>'Analysis-AMY only'!I46-Graphics!E$2</f>
        <v>-51.749131883020027</v>
      </c>
      <c r="G5">
        <f>'Analysis-AMY only'!I46-Graphics!G$2</f>
        <v>-64.289526712639827</v>
      </c>
      <c r="H5">
        <f>'Analysis-TMY only'!I16-Graphics!H$2</f>
        <v>104.58405236796489</v>
      </c>
      <c r="I5">
        <f>'Analysis-AMY only'!I16-Graphics!H$2</f>
        <v>216.14203850766489</v>
      </c>
      <c r="J5">
        <f>'Analysis-AMY only'!I16-Graphics!J$2</f>
        <v>160.53675103353453</v>
      </c>
      <c r="K5">
        <f>'Analysis-TMY only'!I10-Graphics!K$2</f>
        <v>-12.878392069591996</v>
      </c>
      <c r="L5">
        <f>'Analysis-AMY only'!I10-Graphics!K$2</f>
        <v>50.865153545994076</v>
      </c>
      <c r="M5">
        <f>'Analysis-AMY only'!I10-Graphics!M$2</f>
        <v>28.629756502281566</v>
      </c>
      <c r="N5">
        <f>'Analysis-TMY only'!I4-Graphics!N$2</f>
        <v>-30.917858013434511</v>
      </c>
      <c r="O5">
        <f>'Analysis-AMY only'!I4-Graphics!N$2</f>
        <v>-28.175984043394465</v>
      </c>
      <c r="P5">
        <f>'Analysis-AMY only'!I4-Graphics!P$2</f>
        <v>-46.16943579100996</v>
      </c>
    </row>
    <row r="6" spans="1:16" x14ac:dyDescent="0.3">
      <c r="A6">
        <f t="shared" si="0"/>
        <v>2021</v>
      </c>
      <c r="B6">
        <f>'Analysis-TMY only'!I23-Graphics!$B$2</f>
        <v>0</v>
      </c>
      <c r="C6">
        <f>'Analysis-AMY only'!I23-Graphics!$B$2</f>
        <v>62.826043828699994</v>
      </c>
      <c r="D6">
        <f>'Analysis-AMY only'!I23-Graphics!D$2</f>
        <v>15.881657770489937</v>
      </c>
      <c r="E6">
        <f>'Analysis-TMY only'!I47-Graphics!E$2</f>
        <v>-0.71418038041997534</v>
      </c>
      <c r="F6">
        <f>'Analysis-AMY only'!I47-Graphics!E$2</f>
        <v>35.783607680579962</v>
      </c>
      <c r="G6">
        <f>'Analysis-AMY only'!I47-Graphics!G$2</f>
        <v>23.243212850960163</v>
      </c>
      <c r="H6">
        <f>'Analysis-TMY only'!I17-Graphics!H$2</f>
        <v>-16.258223677954902</v>
      </c>
      <c r="I6">
        <f>'Analysis-AMY only'!I17-Graphics!H$2</f>
        <v>39.863886398285103</v>
      </c>
      <c r="J6">
        <f>'Analysis-AMY only'!I17-Graphics!J$2</f>
        <v>-15.74140107584526</v>
      </c>
      <c r="K6">
        <f>'Analysis-TMY only'!I11-Graphics!K$2</f>
        <v>-6.9545176556570141</v>
      </c>
      <c r="L6">
        <f>'Analysis-AMY only'!I11-Graphics!K$2</f>
        <v>25.511551859055999</v>
      </c>
      <c r="M6">
        <f>'Analysis-AMY only'!I11-Graphics!M$2</f>
        <v>3.2761548153434887</v>
      </c>
      <c r="N6">
        <f>'Analysis-TMY only'!I5-Graphics!N$2</f>
        <v>-37.94492220750351</v>
      </c>
      <c r="O6">
        <f>'Analysis-AMY only'!I5-Graphics!N$2</f>
        <v>-47.661249091025525</v>
      </c>
      <c r="P6">
        <f>'Analysis-AMY only'!I5-Graphics!P$2</f>
        <v>-65.65470083864102</v>
      </c>
    </row>
    <row r="7" spans="1:16" x14ac:dyDescent="0.3">
      <c r="A7">
        <f t="shared" si="0"/>
        <v>2022</v>
      </c>
      <c r="B7">
        <f>'Analysis-TMY only'!I24-Graphics!$B$2</f>
        <v>0</v>
      </c>
      <c r="C7">
        <f>'Analysis-AMY only'!I24-Graphics!$B$2</f>
        <v>62.786352845629835</v>
      </c>
      <c r="D7">
        <f>'Analysis-AMY only'!I24-Graphics!D$2</f>
        <v>15.841966787419778</v>
      </c>
      <c r="E7">
        <f>'Analysis-TMY only'!I48-Graphics!E$2</f>
        <v>2.9821761672099001</v>
      </c>
      <c r="F7">
        <f>'Analysis-AMY only'!I48-Graphics!E$2</f>
        <v>45.060825865290099</v>
      </c>
      <c r="G7">
        <f>'Analysis-AMY only'!I48-Graphics!G$2</f>
        <v>32.520431035670299</v>
      </c>
      <c r="H7">
        <f>'Analysis-TMY only'!I18-Graphics!H$2</f>
        <v>139.05599587132519</v>
      </c>
      <c r="I7">
        <f>'Analysis-AMY only'!I18-Graphics!H$2</f>
        <v>212.97195858908526</v>
      </c>
      <c r="J7">
        <f>'Analysis-AMY only'!I18-Graphics!J$2</f>
        <v>157.3666711149549</v>
      </c>
      <c r="K7">
        <f>'Analysis-TMY only'!I12-Graphics!K$2</f>
        <v>-4.3281863094999835</v>
      </c>
      <c r="L7">
        <f>'Analysis-AMY only'!I12-Graphics!K$2</f>
        <v>18.984088049554089</v>
      </c>
      <c r="M7">
        <f>'Analysis-AMY only'!I12-Graphics!M$2</f>
        <v>-3.2513089941584212</v>
      </c>
      <c r="N7">
        <f>'Analysis-TMY only'!I6-Graphics!N$2</f>
        <v>5.1038259769854903</v>
      </c>
      <c r="O7">
        <f>'Analysis-AMY only'!I6-Graphics!N$2</f>
        <v>55.761259907339536</v>
      </c>
      <c r="P7">
        <f>'Analysis-AMY only'!I6-Graphics!P$2</f>
        <v>37.767808159724041</v>
      </c>
    </row>
    <row r="8" spans="1:16" x14ac:dyDescent="0.3">
      <c r="A8">
        <f t="shared" si="0"/>
        <v>2023</v>
      </c>
      <c r="B8">
        <f>'Analysis-TMY only'!I25-Graphics!$B$2</f>
        <v>0</v>
      </c>
      <c r="C8">
        <f>'Analysis-AMY only'!I25-Graphics!$B$2</f>
        <v>38.040376180109888</v>
      </c>
      <c r="D8">
        <f>'Analysis-AMY only'!I25-Graphics!D$2</f>
        <v>-8.9040098781001689</v>
      </c>
      <c r="E8">
        <f>'Analysis-TMY only'!I49-Graphics!E$2</f>
        <v>-0.33280760408001697</v>
      </c>
      <c r="F8">
        <f>'Analysis-AMY only'!I49-Graphics!E$2</f>
        <v>22.672787572139896</v>
      </c>
      <c r="G8">
        <f>'Analysis-AMY only'!I49-Graphics!G$2</f>
        <v>10.132392742520096</v>
      </c>
      <c r="H8">
        <f>'Analysis-TMY only'!I19-Graphics!H$2</f>
        <v>-193.80324053878485</v>
      </c>
      <c r="I8">
        <f>'Analysis-AMY only'!I19-Graphics!H$2</f>
        <v>-190.82470502199476</v>
      </c>
      <c r="J8">
        <f>'Analysis-AMY only'!I19-Graphics!J$2</f>
        <v>-246.42999249612512</v>
      </c>
      <c r="K8">
        <f>'Analysis-TMY only'!I13-Graphics!K$2</f>
        <v>4.3281863094999835</v>
      </c>
      <c r="L8">
        <f>'Analysis-AMY only'!I13-Graphics!K$2</f>
        <v>25.486706037871045</v>
      </c>
      <c r="M8">
        <f>'Analysis-AMY only'!I13-Graphics!M$2</f>
        <v>3.2513089941585349</v>
      </c>
      <c r="N8">
        <f>'Analysis-TMY only'!I7-Graphics!N$2</f>
        <v>-5.1038259769854903</v>
      </c>
      <c r="O8">
        <f>'Analysis-AMY only'!I7-Graphics!N$2</f>
        <v>29.160711008165435</v>
      </c>
      <c r="P8">
        <f>'Analysis-AMY only'!I7-Graphics!P$2</f>
        <v>11.16725926054994</v>
      </c>
    </row>
    <row r="10" spans="1:16" x14ac:dyDescent="0.3">
      <c r="A10">
        <v>2018</v>
      </c>
      <c r="B10" s="1">
        <f>B3/B$2</f>
        <v>0</v>
      </c>
      <c r="C10" s="1">
        <f>C3/B$2</f>
        <v>2.1559245841040561E-2</v>
      </c>
      <c r="D10" s="1">
        <f>D3/D$2</f>
        <v>-1.0860480291792833E-2</v>
      </c>
      <c r="E10" s="1">
        <f t="shared" ref="E10:K10" si="1">E3/E$2</f>
        <v>4.8095852305541512E-3</v>
      </c>
      <c r="F10" s="1">
        <f>F3/E$2</f>
        <v>-3.5885499856489624E-2</v>
      </c>
      <c r="G10" s="1">
        <f>G3/G$2</f>
        <v>-4.5199404222482253E-2</v>
      </c>
      <c r="H10" s="1">
        <f t="shared" si="1"/>
        <v>5.8741296733851138E-3</v>
      </c>
      <c r="I10" s="1">
        <f>I3/H$2</f>
        <v>2.5777705400710355E-2</v>
      </c>
      <c r="J10" s="1">
        <f>J3/J$2</f>
        <v>5.5753893325958025E-3</v>
      </c>
      <c r="K10" s="1">
        <f t="shared" si="1"/>
        <v>1.1331193512761165E-2</v>
      </c>
      <c r="L10" s="1">
        <f>L3/K$2</f>
        <v>1.9237090035934806E-2</v>
      </c>
      <c r="M10" s="1">
        <f>M3/M$2</f>
        <v>-4.9546915771842412E-3</v>
      </c>
      <c r="N10" s="1">
        <f t="shared" ref="N10:P10" si="2">N3/N$2</f>
        <v>1.0004166191890013E-2</v>
      </c>
      <c r="O10" s="1">
        <f>O3/N$2</f>
        <v>8.7222969255473775E-3</v>
      </c>
      <c r="P10" s="1">
        <f t="shared" si="2"/>
        <v>-1.3063456267403149E-2</v>
      </c>
    </row>
    <row r="11" spans="1:16" x14ac:dyDescent="0.3">
      <c r="A11">
        <f>A10+1</f>
        <v>2019</v>
      </c>
      <c r="B11" s="1">
        <f t="shared" ref="B11:E15" si="3">B4/B$2</f>
        <v>0</v>
      </c>
      <c r="C11" s="1">
        <f t="shared" ref="C11:C15" si="4">C4/B$2</f>
        <v>1.0477907067948331E-2</v>
      </c>
      <c r="D11" s="1">
        <f t="shared" ref="D11:D15" si="5">D4/D$2</f>
        <v>-2.1590146883686188E-2</v>
      </c>
      <c r="E11" s="1">
        <f t="shared" si="3"/>
        <v>2.5888156378572533E-4</v>
      </c>
      <c r="F11" s="1">
        <f t="shared" ref="F11:F15" si="6">F4/E$2</f>
        <v>1.8731162938147271E-3</v>
      </c>
      <c r="G11" s="1">
        <f t="shared" ref="G11:H11" si="7">G4/G$2</f>
        <v>-7.8055581692605749E-3</v>
      </c>
      <c r="H11" s="1">
        <f t="shared" si="7"/>
        <v>-2.9697939486027308E-2</v>
      </c>
      <c r="I11" s="1">
        <f t="shared" ref="I11:I15" si="8">I4/H$2</f>
        <v>-8.8780522132030776E-3</v>
      </c>
      <c r="J11" s="1">
        <f t="shared" ref="J11:J15" si="9">J4/J$2</f>
        <v>-2.8397835832805553E-2</v>
      </c>
      <c r="K11" s="1">
        <f t="shared" ref="K11" si="10">K4/K$2</f>
        <v>8.8737590511076461E-3</v>
      </c>
      <c r="L11" s="1">
        <f t="shared" ref="L11:L15" si="11">L4/K$2</f>
        <v>1.5809517833960708E-2</v>
      </c>
      <c r="M11" s="1">
        <f t="shared" ref="M11:P15" si="12">M4/M$2</f>
        <v>-8.3009097164147682E-3</v>
      </c>
      <c r="N11" s="1">
        <f t="shared" si="12"/>
        <v>1.8667354187254501E-2</v>
      </c>
      <c r="O11" s="1">
        <f t="shared" ref="O11:O18" si="13">O4/N$2</f>
        <v>3.5425937996541423E-2</v>
      </c>
      <c r="P11" s="1">
        <f t="shared" si="12"/>
        <v>1.3063456267403149E-2</v>
      </c>
    </row>
    <row r="12" spans="1:16" x14ac:dyDescent="0.3">
      <c r="A12">
        <f t="shared" ref="A12:A15" si="14">A11+1</f>
        <v>2020</v>
      </c>
      <c r="B12" s="1">
        <f t="shared" si="3"/>
        <v>0</v>
      </c>
      <c r="C12" s="1">
        <f t="shared" si="4"/>
        <v>3.8992297750873602E-2</v>
      </c>
      <c r="D12" s="1">
        <f t="shared" si="5"/>
        <v>6.0193244413569271E-3</v>
      </c>
      <c r="E12" s="1">
        <f t="shared" si="3"/>
        <v>-6.264302525144516E-4</v>
      </c>
      <c r="F12" s="1">
        <f t="shared" si="6"/>
        <v>-4.0254176954469298E-2</v>
      </c>
      <c r="G12" s="1">
        <f t="shared" ref="G12:H12" si="15">G5/G$2</f>
        <v>-4.9525877369903749E-2</v>
      </c>
      <c r="H12" s="1">
        <f t="shared" si="15"/>
        <v>3.7786433348836919E-2</v>
      </c>
      <c r="I12" s="1">
        <f t="shared" si="8"/>
        <v>7.8092563321378122E-2</v>
      </c>
      <c r="J12" s="1">
        <f t="shared" si="9"/>
        <v>5.6859925294414811E-2</v>
      </c>
      <c r="K12" s="1">
        <f t="shared" ref="K12" si="16">K5/K$2</f>
        <v>-1.4081267564152069E-2</v>
      </c>
      <c r="L12" s="1">
        <f t="shared" si="11"/>
        <v>5.5616091892713472E-2</v>
      </c>
      <c r="M12" s="1">
        <f t="shared" si="12"/>
        <v>3.0560847914629458E-2</v>
      </c>
      <c r="N12" s="1">
        <f t="shared" si="12"/>
        <v>-3.7929600112601498E-2</v>
      </c>
      <c r="O12" s="1">
        <f t="shared" si="13"/>
        <v>-3.4565907090996294E-2</v>
      </c>
      <c r="P12" s="1">
        <f t="shared" si="12"/>
        <v>-5.5416748731238162E-2</v>
      </c>
    </row>
    <row r="13" spans="1:16" x14ac:dyDescent="0.3">
      <c r="A13">
        <f t="shared" si="14"/>
        <v>2021</v>
      </c>
      <c r="B13" s="1">
        <f t="shared" si="3"/>
        <v>0</v>
      </c>
      <c r="C13" s="1">
        <f t="shared" si="4"/>
        <v>4.3863960036950762E-2</v>
      </c>
      <c r="D13" s="1">
        <f t="shared" si="5"/>
        <v>1.0736381933077549E-2</v>
      </c>
      <c r="E13" s="1">
        <f t="shared" si="3"/>
        <v>-5.5554059294797477E-4</v>
      </c>
      <c r="F13" s="1">
        <f t="shared" si="6"/>
        <v>2.7835050042955618E-2</v>
      </c>
      <c r="G13" s="1">
        <f t="shared" ref="G13:H13" si="17">G6/G$2</f>
        <v>1.7905568265956771E-2</v>
      </c>
      <c r="H13" s="1">
        <f t="shared" si="17"/>
        <v>-5.8741296733851138E-3</v>
      </c>
      <c r="I13" s="1">
        <f t="shared" si="8"/>
        <v>1.4402904193410329E-2</v>
      </c>
      <c r="J13" s="1">
        <f t="shared" si="9"/>
        <v>-5.5753893325959638E-3</v>
      </c>
      <c r="K13" s="1">
        <f t="shared" ref="K13" si="18">K6/K$2</f>
        <v>-7.6040877898220791E-3</v>
      </c>
      <c r="L13" s="1">
        <f t="shared" si="11"/>
        <v>2.7894397511962814E-2</v>
      </c>
      <c r="M13" s="1">
        <f t="shared" si="12"/>
        <v>3.497133098163597E-3</v>
      </c>
      <c r="N13" s="1">
        <f t="shared" si="12"/>
        <v>-4.6550305166968536E-2</v>
      </c>
      <c r="O13" s="1">
        <f t="shared" si="13"/>
        <v>-5.8470160452388766E-2</v>
      </c>
      <c r="P13" s="1">
        <f t="shared" si="12"/>
        <v>-7.8804732981121645E-2</v>
      </c>
    </row>
    <row r="14" spans="1:16" x14ac:dyDescent="0.3">
      <c r="A14">
        <f t="shared" si="14"/>
        <v>2022</v>
      </c>
      <c r="B14" s="1">
        <f t="shared" si="3"/>
        <v>0</v>
      </c>
      <c r="C14" s="1">
        <f t="shared" si="4"/>
        <v>4.3836248540426108E-2</v>
      </c>
      <c r="D14" s="1">
        <f t="shared" si="5"/>
        <v>1.0709549875637528E-2</v>
      </c>
      <c r="E14" s="1">
        <f t="shared" si="3"/>
        <v>2.3197499702146238E-3</v>
      </c>
      <c r="F14" s="1">
        <f t="shared" si="6"/>
        <v>3.5051534046913913E-2</v>
      </c>
      <c r="G14" s="1">
        <f t="shared" ref="G14:H14" si="19">G7/G$2</f>
        <v>2.505233685555134E-2</v>
      </c>
      <c r="H14" s="1">
        <f t="shared" si="19"/>
        <v>5.0241217477985725E-2</v>
      </c>
      <c r="I14" s="1">
        <f t="shared" si="8"/>
        <v>7.6947206922943254E-2</v>
      </c>
      <c r="J14" s="1">
        <f t="shared" si="9"/>
        <v>5.5737126270594343E-2</v>
      </c>
      <c r="K14" s="1">
        <f t="shared" ref="K14" si="20">K7/K$2</f>
        <v>-4.7324502284313529E-3</v>
      </c>
      <c r="L14" s="1">
        <f t="shared" si="11"/>
        <v>2.0757251514214998E-2</v>
      </c>
      <c r="M14" s="1">
        <f t="shared" si="12"/>
        <v>-3.4706114138981226E-3</v>
      </c>
      <c r="N14" s="1">
        <f t="shared" si="12"/>
        <v>6.2613030394036272E-3</v>
      </c>
      <c r="O14" s="1">
        <f t="shared" si="13"/>
        <v>6.8407141566573293E-2</v>
      </c>
      <c r="P14" s="1">
        <f t="shared" si="12"/>
        <v>4.5332352433134417E-2</v>
      </c>
    </row>
    <row r="15" spans="1:16" x14ac:dyDescent="0.3">
      <c r="A15">
        <f t="shared" si="14"/>
        <v>2023</v>
      </c>
      <c r="B15" s="1">
        <f t="shared" si="3"/>
        <v>0</v>
      </c>
      <c r="C15" s="1">
        <f t="shared" si="4"/>
        <v>2.6559073894649222E-2</v>
      </c>
      <c r="D15" s="1">
        <f t="shared" si="5"/>
        <v>-6.0193244413570806E-3</v>
      </c>
      <c r="E15" s="1">
        <f t="shared" si="3"/>
        <v>-2.5888156378572533E-4</v>
      </c>
      <c r="F15" s="1">
        <f t="shared" si="6"/>
        <v>1.7636516203655955E-2</v>
      </c>
      <c r="G15" s="1">
        <f t="shared" ref="G15:H15" si="21">G8/G$2</f>
        <v>7.8055581692607501E-3</v>
      </c>
      <c r="H15" s="1">
        <f t="shared" si="21"/>
        <v>-7.0021509643190594E-2</v>
      </c>
      <c r="I15" s="1">
        <f t="shared" si="8"/>
        <v>-6.8945358631310252E-2</v>
      </c>
      <c r="J15" s="1">
        <f t="shared" si="9"/>
        <v>-8.7282138659364752E-2</v>
      </c>
      <c r="K15" s="1">
        <f t="shared" ref="K15" si="22">K8/K$2</f>
        <v>4.7324502284313529E-3</v>
      </c>
      <c r="L15" s="1">
        <f t="shared" si="11"/>
        <v>2.786723102611071E-2</v>
      </c>
      <c r="M15" s="1">
        <f t="shared" si="12"/>
        <v>3.470611413898244E-3</v>
      </c>
      <c r="N15" s="1">
        <f t="shared" si="12"/>
        <v>-6.2613030394036272E-3</v>
      </c>
      <c r="O15" s="1">
        <f t="shared" si="13"/>
        <v>3.5773956496541442E-2</v>
      </c>
      <c r="P15" s="1">
        <f t="shared" si="12"/>
        <v>1.3403958481532726E-2</v>
      </c>
    </row>
    <row r="16" spans="1:16" x14ac:dyDescent="0.3">
      <c r="A16" t="s">
        <v>63</v>
      </c>
      <c r="B16" s="1" cm="1">
        <f t="array" ref="B16">MAX(ABS(B10:B15))</f>
        <v>0</v>
      </c>
      <c r="C16" s="1" cm="1">
        <f t="array" ref="C16">MAX(ABS(C10:C15))</f>
        <v>4.3863960036950762E-2</v>
      </c>
      <c r="D16" s="1" cm="1">
        <f t="array" ref="D16">MAX(ABS(D10:D15))</f>
        <v>2.1590146883686188E-2</v>
      </c>
      <c r="E16" s="1" cm="1">
        <f t="array" ref="E16">MAX(ABS(E10:E15))</f>
        <v>4.8095852305541512E-3</v>
      </c>
      <c r="F16" s="1" cm="1">
        <f t="array" ref="F16">MAX(ABS(F10:F15))</f>
        <v>4.0254176954469298E-2</v>
      </c>
      <c r="G16" s="1" cm="1">
        <f t="array" ref="G16">MAX(ABS(G10:G15))</f>
        <v>4.9525877369903749E-2</v>
      </c>
      <c r="H16" s="1" cm="1">
        <f t="array" ref="H16">MAX(ABS(H10:H15))</f>
        <v>7.0021509643190594E-2</v>
      </c>
      <c r="I16" s="1" cm="1">
        <f t="array" ref="I16">MAX(ABS(I10:I15))</f>
        <v>7.8092563321378122E-2</v>
      </c>
      <c r="J16" s="1" cm="1">
        <f t="array" ref="J16">MAX(ABS(J10:J15))</f>
        <v>8.7282138659364752E-2</v>
      </c>
      <c r="K16" s="1" cm="1">
        <f t="array" ref="K16">MAX(ABS(K10:K15))</f>
        <v>1.4081267564152069E-2</v>
      </c>
      <c r="L16" s="1" cm="1">
        <f t="array" ref="L16">MAX(ABS(L10:L15))</f>
        <v>5.5616091892713472E-2</v>
      </c>
      <c r="M16" s="1" cm="1">
        <f t="array" ref="M16">MAX(ABS(M10:M15))</f>
        <v>3.0560847914629458E-2</v>
      </c>
      <c r="N16" s="1" cm="1">
        <f t="array" ref="N16">MAX(ABS(N10:N15))</f>
        <v>4.6550305166968536E-2</v>
      </c>
      <c r="O16" s="1" cm="1">
        <f t="array" ref="O16">MAX(ABS(O10:O15))</f>
        <v>6.8407141566573293E-2</v>
      </c>
      <c r="P16" s="1" cm="1">
        <f t="array" ref="P16">MAX(ABS(P10:P15))</f>
        <v>7.8804732981121645E-2</v>
      </c>
    </row>
    <row r="17" spans="1:16" x14ac:dyDescent="0.3">
      <c r="A17" t="s">
        <v>64</v>
      </c>
      <c r="B17" s="1">
        <f>AVERAGE(B10:B15)</f>
        <v>0</v>
      </c>
      <c r="C17" s="1">
        <f t="shared" ref="C17:L17" si="23">AVERAGE(C10:C15)</f>
        <v>3.0881455521981432E-2</v>
      </c>
      <c r="D17" s="1">
        <f t="shared" ref="D17" si="24">AVERAGE(D10:D15)</f>
        <v>-1.8341158944606833E-3</v>
      </c>
      <c r="E17" s="1">
        <f t="shared" si="23"/>
        <v>9.9122739255105819E-4</v>
      </c>
      <c r="F17" s="1">
        <f t="shared" si="23"/>
        <v>1.0427566293968813E-3</v>
      </c>
      <c r="G17" s="1">
        <f t="shared" ref="G17" si="25">AVERAGE(G10:G15)</f>
        <v>-8.6278960784796199E-3</v>
      </c>
      <c r="H17" s="1">
        <f t="shared" si="23"/>
        <v>-1.9486330503992097E-3</v>
      </c>
      <c r="I17" s="1">
        <f t="shared" si="23"/>
        <v>1.956616149898812E-2</v>
      </c>
      <c r="J17" s="1">
        <f t="shared" ref="J17" si="26">AVERAGE(J10:J15)</f>
        <v>-5.1382048786022033E-4</v>
      </c>
      <c r="K17" s="1">
        <f t="shared" si="23"/>
        <v>-2.4673379835088942E-4</v>
      </c>
      <c r="L17" s="1">
        <f t="shared" si="23"/>
        <v>2.7863596635816255E-2</v>
      </c>
      <c r="M17" s="1">
        <f t="shared" ref="M17:P17" si="27">AVERAGE(M10:M15)</f>
        <v>3.4670632865323615E-3</v>
      </c>
      <c r="N17" s="1">
        <f t="shared" si="27"/>
        <v>-9.3013974834042536E-3</v>
      </c>
      <c r="O17" s="1">
        <f t="shared" ref="O17" si="28">AVERAGE(O10:O15)</f>
        <v>9.2155442403030804E-3</v>
      </c>
      <c r="P17" s="1">
        <f t="shared" si="27"/>
        <v>-1.2580861799615447E-2</v>
      </c>
    </row>
    <row r="18" spans="1:16" x14ac:dyDescent="0.3">
      <c r="A18" t="s">
        <v>65</v>
      </c>
      <c r="B18" s="1" cm="1">
        <f t="array" ref="B18">AVERAGE(ABS(B10:B15))</f>
        <v>0</v>
      </c>
      <c r="C18" s="1" cm="1">
        <f t="array" ref="C18">AVERAGE(ABS(C10:C15))</f>
        <v>3.0881455521981432E-2</v>
      </c>
      <c r="D18" s="1" cm="1">
        <f t="array" ref="D18">AVERAGE(ABS(D10:D15))</f>
        <v>1.0989201311151352E-2</v>
      </c>
      <c r="E18" s="1" cm="1">
        <f t="array" ref="E18">AVERAGE(ABS(E10:E15))</f>
        <v>1.4715115289671088E-3</v>
      </c>
      <c r="F18" s="1" cm="1">
        <f t="array" ref="F18">AVERAGE(ABS(F10:F15))</f>
        <v>2.642264889971652E-2</v>
      </c>
      <c r="G18" s="1" cm="1">
        <f t="array" ref="G18">AVERAGE(ABS(G10:G15))</f>
        <v>2.5549050508735908E-2</v>
      </c>
      <c r="H18" s="1" cm="1">
        <f t="array" ref="H18">AVERAGE(ABS(H10:H15))</f>
        <v>3.3249226550468462E-2</v>
      </c>
      <c r="I18" s="1" cm="1">
        <f t="array" ref="I18">AVERAGE(ABS(I10:I15))</f>
        <v>4.5507298447159228E-2</v>
      </c>
      <c r="J18" s="1" cm="1">
        <f t="array" ref="J18">AVERAGE(ABS(J10:J15))</f>
        <v>3.9904634120395209E-2</v>
      </c>
      <c r="K18" s="1" cm="1">
        <f t="array" ref="K18">AVERAGE(ABS(K10:K15))</f>
        <v>8.5592013957842775E-3</v>
      </c>
      <c r="L18" s="1" cm="1">
        <f t="array" ref="L18">AVERAGE(ABS(L10:L15))</f>
        <v>2.7863596635816255E-2</v>
      </c>
      <c r="M18" s="1" cm="1">
        <f t="array" ref="M18">AVERAGE(ABS(M10:M15))</f>
        <v>9.0424675223647385E-3</v>
      </c>
      <c r="N18" s="1" cm="1">
        <f t="array" ref="N18">AVERAGE(ABS(N10:N15))</f>
        <v>2.0945671956253634E-2</v>
      </c>
      <c r="O18" s="1" cm="1">
        <f t="array" ref="O18">AVERAGE(ABS(O10:O15))</f>
        <v>4.0227566754764764E-2</v>
      </c>
      <c r="P18" s="1" cm="1">
        <f t="array" ref="P18">AVERAGE(ABS(P10:P15))</f>
        <v>3.6514117526972208E-2</v>
      </c>
    </row>
    <row r="20" spans="1:16" x14ac:dyDescent="0.3">
      <c r="A20" t="s">
        <v>60</v>
      </c>
      <c r="B20" t="s">
        <v>53</v>
      </c>
      <c r="C20" t="s">
        <v>69</v>
      </c>
      <c r="D20" t="s">
        <v>54</v>
      </c>
      <c r="E20" t="s">
        <v>61</v>
      </c>
      <c r="F20" t="s">
        <v>69</v>
      </c>
      <c r="G20" t="s">
        <v>62</v>
      </c>
      <c r="H20" t="s">
        <v>55</v>
      </c>
      <c r="I20" t="s">
        <v>69</v>
      </c>
      <c r="J20" t="s">
        <v>56</v>
      </c>
      <c r="K20" t="s">
        <v>57</v>
      </c>
      <c r="L20" t="s">
        <v>69</v>
      </c>
      <c r="M20" t="s">
        <v>58</v>
      </c>
    </row>
    <row r="21" spans="1:16" x14ac:dyDescent="0.3">
      <c r="A21" t="s">
        <v>52</v>
      </c>
      <c r="B21">
        <f>MEDIAN('Analysis-TMY only'!J20:J25)</f>
        <v>1498.632748</v>
      </c>
      <c r="D21">
        <f>MEDIAN('Analysis-AMY only'!J20:J25)</f>
        <v>1543.5124860000001</v>
      </c>
      <c r="E21">
        <f>MEDIAN('Analysis-TMY only'!J44:J49)</f>
        <v>1285.4296365</v>
      </c>
      <c r="G21">
        <f>MEDIAN('Analysis-AMY only'!J44:J49)</f>
        <v>1297.6331169999999</v>
      </c>
      <c r="H21">
        <f>MEDIAN('Analysis-TMY only'!J14:J19)</f>
        <v>3749.8817675</v>
      </c>
      <c r="J21">
        <f>MEDIAN('Analysis-AMY only'!J14:J19)</f>
        <v>3814.4133455000001</v>
      </c>
      <c r="K21">
        <f>MEDIAN('Analysis-TMY only'!J8:J13)</f>
        <v>1146.109639</v>
      </c>
      <c r="M21">
        <f>MEDIAN('Analysis-AMY only'!J8:J13)</f>
        <v>1249.8051515</v>
      </c>
      <c r="N21">
        <f>MEDIAN('Analysis-TMY only'!J2:J7)</f>
        <v>996.31137394999996</v>
      </c>
      <c r="P21">
        <f>MEDIAN('Analysis-AMY only'!J2:J7)</f>
        <v>988.96540440000001</v>
      </c>
    </row>
    <row r="22" spans="1:16" x14ac:dyDescent="0.3">
      <c r="A22">
        <v>2018</v>
      </c>
      <c r="B22">
        <f>'Analysis-TMY only'!J20-Graphics!$B$21</f>
        <v>0.99900000000002365</v>
      </c>
      <c r="C22">
        <f>'Analysis-AMY only'!J20-Graphics!$B$21</f>
        <v>26.364356000000043</v>
      </c>
      <c r="D22">
        <f>'Analysis-AMY only'!J20-Graphics!D$21</f>
        <v>-18.515382000000045</v>
      </c>
      <c r="E22">
        <f>'Analysis-TMY only'!J44-Graphics!E$21</f>
        <v>6.8193894999999429</v>
      </c>
      <c r="F22">
        <f>'Analysis-AMY only'!J44-Graphics!E$21</f>
        <v>-44.915760500000033</v>
      </c>
      <c r="G22">
        <f>'Analysis-AMY only'!J44-Graphics!G$21</f>
        <v>-57.119240999999874</v>
      </c>
      <c r="H22">
        <f>'Analysis-TMY only'!J14-Graphics!H$21</f>
        <v>17.574724499999775</v>
      </c>
      <c r="I22">
        <f>'Analysis-AMY only'!J14-Graphics!H$21</f>
        <v>88.511817499999779</v>
      </c>
      <c r="J22">
        <f>'Analysis-AMY only'!J14-Graphics!J$21</f>
        <v>23.980239499999698</v>
      </c>
      <c r="K22">
        <f>'Analysis-TMY only'!J8-Graphics!K$21</f>
        <v>-29.082628000000113</v>
      </c>
      <c r="L22">
        <f>'Analysis-AMY only'!J8-Graphics!K$21</f>
        <v>110.00281799999993</v>
      </c>
      <c r="M22">
        <f>'Analysis-AMY only'!J8-Graphics!M$21</f>
        <v>6.307305499999984</v>
      </c>
      <c r="N22">
        <f>'Analysis-TMY only'!J2-Graphics!N$21</f>
        <v>-2.1370143499999585</v>
      </c>
      <c r="O22">
        <f>'Analysis-AMY only'!J2-Graphics!N$21</f>
        <v>-18.093658449999907</v>
      </c>
      <c r="P22">
        <f>'Analysis-AMY only'!J2-Graphics!N$21</f>
        <v>-18.093658449999907</v>
      </c>
    </row>
    <row r="23" spans="1:16" x14ac:dyDescent="0.3">
      <c r="A23">
        <f>A22+1</f>
        <v>2019</v>
      </c>
      <c r="B23">
        <f>'Analysis-TMY only'!J21-Graphics!$B$21</f>
        <v>-1.8991759999998976</v>
      </c>
      <c r="C23">
        <f>'Analysis-AMY only'!J21-Graphics!$B$21</f>
        <v>9.8125700000000506</v>
      </c>
      <c r="D23">
        <f>'Analysis-AMY only'!J21-Graphics!D$21</f>
        <v>-35.067168000000038</v>
      </c>
      <c r="E23">
        <f>'Analysis-TMY only'!J45-Graphics!E$21</f>
        <v>0.19281249999994543</v>
      </c>
      <c r="F23">
        <f>'Analysis-AMY only'!J45-Graphics!E$21</f>
        <v>2.9253214999998818</v>
      </c>
      <c r="G23">
        <f>'Analysis-AMY only'!J45-Graphics!G$21</f>
        <v>-9.2781589999999596</v>
      </c>
      <c r="H23">
        <f>'Analysis-TMY only'!J15-Graphics!H$21</f>
        <v>-111.13162349999993</v>
      </c>
      <c r="I23">
        <f>'Analysis-AMY only'!J15-Graphics!H$21</f>
        <v>-6.1137604999998985</v>
      </c>
      <c r="J23">
        <f>'Analysis-AMY only'!J15-Graphics!J$21</f>
        <v>-70.64533849999998</v>
      </c>
      <c r="K23">
        <f>'Analysis-TMY only'!J9-Graphics!K$21</f>
        <v>40.971569999999929</v>
      </c>
      <c r="L23">
        <f>'Analysis-AMY only'!J9-Graphics!K$21</f>
        <v>97.388206999999966</v>
      </c>
      <c r="M23">
        <f>'Analysis-AMY only'!J9-Graphics!M$21</f>
        <v>-6.307305499999984</v>
      </c>
      <c r="N23">
        <f>'Analysis-TMY only'!J3-Graphics!N$21</f>
        <v>2.1370143500000722</v>
      </c>
      <c r="O23">
        <f>'Analysis-AMY only'!J3-Graphics!N$21</f>
        <v>0.83291595000002872</v>
      </c>
      <c r="P23">
        <f>'Analysis-AMY only'!J3-Graphics!N$21</f>
        <v>0.83291595000002872</v>
      </c>
    </row>
    <row r="24" spans="1:16" x14ac:dyDescent="0.3">
      <c r="A24">
        <f t="shared" ref="A24:A27" si="29">A23+1</f>
        <v>2020</v>
      </c>
      <c r="B24">
        <f>'Analysis-TMY only'!J22-Graphics!$B$21</f>
        <v>0.74673899999993409</v>
      </c>
      <c r="C24">
        <f>'Analysis-AMY only'!J22-Graphics!$B$21</f>
        <v>58.639515000000074</v>
      </c>
      <c r="D24">
        <f>'Analysis-AMY only'!J22-Graphics!D$21</f>
        <v>13.759776999999985</v>
      </c>
      <c r="E24">
        <f>'Analysis-TMY only'!J46-Graphics!E$21</f>
        <v>-2.1644335000000865</v>
      </c>
      <c r="F24">
        <f>'Analysis-AMY only'!J46-Graphics!E$21</f>
        <v>-52.645529500000066</v>
      </c>
      <c r="G24">
        <f>'Analysis-AMY only'!J46-Graphics!G$21</f>
        <v>-64.849009999999907</v>
      </c>
      <c r="H24">
        <f>'Analysis-TMY only'!J16-Graphics!H$21</f>
        <v>61.056734499999948</v>
      </c>
      <c r="I24">
        <f>'Analysis-AMY only'!J16-Graphics!H$21</f>
        <v>222.36667350000016</v>
      </c>
      <c r="J24">
        <f>'Analysis-AMY only'!J16-Graphics!J$21</f>
        <v>157.83509550000008</v>
      </c>
      <c r="K24">
        <f>'Analysis-TMY only'!J10-Graphics!K$21</f>
        <v>-57.058872999999949</v>
      </c>
      <c r="L24">
        <f>'Analysis-AMY only'!J10-Graphics!K$21</f>
        <v>111.88929899999994</v>
      </c>
      <c r="M24">
        <f>'Analysis-AMY only'!J10-Graphics!M$21</f>
        <v>8.1937864999999874</v>
      </c>
      <c r="N24">
        <f>'Analysis-TMY only'!J4-Graphics!N$21</f>
        <v>-17.053682549999962</v>
      </c>
      <c r="O24">
        <f>'Analysis-AMY only'!J4-Graphics!N$21</f>
        <v>-22.454941350000013</v>
      </c>
      <c r="P24">
        <f>'Analysis-AMY only'!J4-Graphics!N$21</f>
        <v>-22.454941350000013</v>
      </c>
    </row>
    <row r="25" spans="1:16" x14ac:dyDescent="0.3">
      <c r="A25">
        <f t="shared" si="29"/>
        <v>2021</v>
      </c>
      <c r="B25">
        <f>'Analysis-TMY only'!J23-Graphics!$B$21</f>
        <v>0.15050799999994524</v>
      </c>
      <c r="C25">
        <f>'Analysis-AMY only'!J23-Graphics!$B$21</f>
        <v>58.386154999999917</v>
      </c>
      <c r="D25">
        <f>'Analysis-AMY only'!J23-Graphics!D$21</f>
        <v>13.506416999999828</v>
      </c>
      <c r="E25">
        <f>'Analysis-TMY only'!J47-Graphics!E$21</f>
        <v>-1.2328625000000102</v>
      </c>
      <c r="F25">
        <f>'Analysis-AMY only'!J47-Graphics!E$21</f>
        <v>37.228867499999978</v>
      </c>
      <c r="G25">
        <f>'Analysis-AMY only'!J47-Graphics!G$21</f>
        <v>25.025387000000137</v>
      </c>
      <c r="H25">
        <f>'Analysis-TMY only'!J17-Graphics!H$21</f>
        <v>-17.574724500000229</v>
      </c>
      <c r="I25">
        <f>'Analysis-AMY only'!J17-Graphics!H$21</f>
        <v>40.551338499999929</v>
      </c>
      <c r="J25">
        <f>'Analysis-AMY only'!J17-Graphics!J$21</f>
        <v>-23.980239500000152</v>
      </c>
      <c r="K25">
        <f>'Analysis-TMY only'!J11-Graphics!K$21</f>
        <v>55.982989999999972</v>
      </c>
      <c r="L25">
        <f>'Analysis-AMY only'!J11-Graphics!K$21</f>
        <v>88.739299000000074</v>
      </c>
      <c r="M25">
        <f>'Analysis-AMY only'!J11-Graphics!M$21</f>
        <v>-14.956213499999876</v>
      </c>
      <c r="N25">
        <f>'Analysis-TMY only'!J5-Graphics!N$21</f>
        <v>-2.7634124499999189</v>
      </c>
      <c r="O25">
        <f>'Analysis-AMY only'!J5-Graphics!N$21</f>
        <v>-15.524855049999928</v>
      </c>
      <c r="P25">
        <f>'Analysis-AMY only'!J5-Graphics!N$21</f>
        <v>-15.524855049999928</v>
      </c>
    </row>
    <row r="26" spans="1:16" x14ac:dyDescent="0.3">
      <c r="A26">
        <f t="shared" si="29"/>
        <v>2022</v>
      </c>
      <c r="B26">
        <f>'Analysis-TMY only'!J24-Graphics!$B$21</f>
        <v>-0.15050799999994524</v>
      </c>
      <c r="C26">
        <f>'Analysis-AMY only'!J24-Graphics!$B$21</f>
        <v>55.426553000000013</v>
      </c>
      <c r="D26">
        <f>'Analysis-AMY only'!J24-Graphics!D$21</f>
        <v>10.546814999999924</v>
      </c>
      <c r="E26">
        <f>'Analysis-TMY only'!J48-Graphics!E$21</f>
        <v>2.812201499999901</v>
      </c>
      <c r="F26">
        <f>'Analysis-AMY only'!J48-Graphics!E$21</f>
        <v>45.623113500000045</v>
      </c>
      <c r="G26">
        <f>'Analysis-AMY only'!J48-Graphics!G$21</f>
        <v>33.419633000000204</v>
      </c>
      <c r="H26">
        <f>'Analysis-TMY only'!J18-Graphics!H$21</f>
        <v>117.43519349999997</v>
      </c>
      <c r="I26">
        <f>'Analysis-AMY only'!J18-Graphics!H$21</f>
        <v>217.50307949999979</v>
      </c>
      <c r="J26">
        <f>'Analysis-AMY only'!J18-Graphics!J$21</f>
        <v>152.9715014999997</v>
      </c>
      <c r="K26">
        <f>'Analysis-TMY only'!J12-Graphics!K$21</f>
        <v>16.452412000000095</v>
      </c>
      <c r="L26">
        <f>'Analysis-AMY only'!J12-Graphics!K$21</f>
        <v>118.48220199999992</v>
      </c>
      <c r="M26">
        <f>'Analysis-AMY only'!J12-Graphics!M$21</f>
        <v>14.786689499999966</v>
      </c>
      <c r="N26">
        <f>'Analysis-TMY only'!J6-Graphics!N$21</f>
        <v>13.573341050000067</v>
      </c>
      <c r="O26">
        <f>'Analysis-AMY only'!J6-Graphics!N$21</f>
        <v>58.113542049999978</v>
      </c>
      <c r="P26">
        <f>'Analysis-AMY only'!J6-Graphics!N$21</f>
        <v>58.113542049999978</v>
      </c>
    </row>
    <row r="27" spans="1:16" x14ac:dyDescent="0.3">
      <c r="A27">
        <f t="shared" si="29"/>
        <v>2023</v>
      </c>
      <c r="B27">
        <f>'Analysis-TMY only'!J25-Graphics!$B$21</f>
        <v>-2.2155390000000352</v>
      </c>
      <c r="C27">
        <f>'Analysis-AMY only'!J25-Graphics!$B$21</f>
        <v>34.332922999999937</v>
      </c>
      <c r="D27">
        <f>'Analysis-AMY only'!J25-Graphics!D$21</f>
        <v>-10.546815000000151</v>
      </c>
      <c r="E27">
        <f>'Analysis-TMY only'!J49-Graphics!E$21</f>
        <v>-0.19281249999994543</v>
      </c>
      <c r="F27">
        <f>'Analysis-AMY only'!J49-Graphics!E$21</f>
        <v>21.481639500000028</v>
      </c>
      <c r="G27">
        <f>'Analysis-AMY only'!J49-Graphics!G$21</f>
        <v>9.278159000000187</v>
      </c>
      <c r="H27">
        <f>'Analysis-TMY only'!J19-Graphics!H$21</f>
        <v>-227.06373949999988</v>
      </c>
      <c r="I27">
        <f>'Analysis-AMY only'!J19-Graphics!H$21</f>
        <v>-227.66455150000002</v>
      </c>
      <c r="J27">
        <f>'Analysis-AMY only'!J19-Graphics!J$21</f>
        <v>-292.1961295000001</v>
      </c>
      <c r="K27">
        <f>'Analysis-TMY only'!J13-Graphics!K$21</f>
        <v>-16.452412000000095</v>
      </c>
      <c r="L27">
        <f>'Analysis-AMY only'!J13-Graphics!K$21</f>
        <v>94.16629399999988</v>
      </c>
      <c r="M27">
        <f>'Analysis-AMY only'!J13-Graphics!M$21</f>
        <v>-9.52921850000007</v>
      </c>
      <c r="N27">
        <f>'Analysis-TMY only'!J7-Graphics!N$21</f>
        <v>7.1048620500000652</v>
      </c>
      <c r="O27">
        <f>'Analysis-AMY only'!J7-Graphics!N$21</f>
        <v>52.564643050000086</v>
      </c>
      <c r="P27">
        <f>'Analysis-AMY only'!J7-Graphics!N$21</f>
        <v>52.564643050000086</v>
      </c>
    </row>
    <row r="29" spans="1:16" x14ac:dyDescent="0.3">
      <c r="A29">
        <v>2018</v>
      </c>
      <c r="B29" s="1">
        <f t="shared" ref="B29:B34" si="30">B22/B$21</f>
        <v>6.6660761372873965E-4</v>
      </c>
      <c r="C29" s="1">
        <f>C22/B$21</f>
        <v>1.7592272713367961E-2</v>
      </c>
      <c r="D29" s="1">
        <f>D22/D$21</f>
        <v>-1.1995615304663006E-2</v>
      </c>
      <c r="E29" s="1">
        <f>E22/E$21</f>
        <v>5.3051441373080108E-3</v>
      </c>
      <c r="F29" s="1">
        <f>F22/E$21</f>
        <v>-3.494221638011847E-2</v>
      </c>
      <c r="G29" s="1">
        <f>G22/G$21</f>
        <v>-4.4018020387807257E-2</v>
      </c>
      <c r="H29" s="1">
        <f>H22/H$21</f>
        <v>4.6867409666936314E-3</v>
      </c>
      <c r="I29" s="1">
        <f>I22/H$21</f>
        <v>2.360389553268756E-2</v>
      </c>
      <c r="J29" s="1">
        <f>J22/J$21</f>
        <v>6.2867438129876625E-3</v>
      </c>
      <c r="K29" s="1">
        <f>K22/K$21</f>
        <v>-2.5375083683420722E-2</v>
      </c>
      <c r="L29" s="1">
        <f>L22/K$21</f>
        <v>9.5979314942311489E-2</v>
      </c>
      <c r="M29" s="1">
        <f>M22/M$21</f>
        <v>5.0466310627940983E-3</v>
      </c>
      <c r="N29" s="1">
        <f t="shared" ref="N29:P29" si="31">N22/N$21</f>
        <v>-2.1449261805849915E-3</v>
      </c>
      <c r="O29" s="1">
        <f>O22/N$21</f>
        <v>-1.8160646282964085E-2</v>
      </c>
      <c r="P29" s="1">
        <f t="shared" si="31"/>
        <v>-1.8295542361238846E-2</v>
      </c>
    </row>
    <row r="30" spans="1:16" x14ac:dyDescent="0.3">
      <c r="A30">
        <f>A29+1</f>
        <v>2019</v>
      </c>
      <c r="B30" s="1">
        <f t="shared" si="30"/>
        <v>-1.2672724538646592E-3</v>
      </c>
      <c r="C30" s="1">
        <f t="shared" ref="C30:C34" si="32">C23/B$21</f>
        <v>6.5476815537998979E-3</v>
      </c>
      <c r="D30" s="1">
        <f t="shared" ref="D30:E30" si="33">D23/D$21</f>
        <v>-2.2719069860507781E-2</v>
      </c>
      <c r="E30" s="1">
        <f t="shared" si="33"/>
        <v>1.4999848651765966E-4</v>
      </c>
      <c r="F30" s="1">
        <f t="shared" ref="F30:F34" si="34">F23/E$21</f>
        <v>2.275753893433654E-3</v>
      </c>
      <c r="G30" s="1">
        <f t="shared" ref="G30:H30" si="35">G23/G$21</f>
        <v>-7.1500633564671586E-3</v>
      </c>
      <c r="H30" s="1">
        <f t="shared" si="35"/>
        <v>-2.9636033984636805E-2</v>
      </c>
      <c r="I30" s="1">
        <f t="shared" ref="I30:I34" si="36">I23/H$21</f>
        <v>-1.6303875372785067E-3</v>
      </c>
      <c r="J30" s="1">
        <f t="shared" ref="J30:K30" si="37">J23/J$21</f>
        <v>-1.8520630068406933E-2</v>
      </c>
      <c r="K30" s="1">
        <f t="shared" si="37"/>
        <v>3.5748386197805924E-2</v>
      </c>
      <c r="L30" s="1">
        <f t="shared" ref="L30:L34" si="38">L23/K$21</f>
        <v>8.4972853980159191E-2</v>
      </c>
      <c r="M30" s="1">
        <f t="shared" ref="M30:P34" si="39">M23/M$21</f>
        <v>-5.0466310627940983E-3</v>
      </c>
      <c r="N30" s="1">
        <f t="shared" si="39"/>
        <v>2.1449261805851056E-3</v>
      </c>
      <c r="O30" s="1">
        <f t="shared" ref="O30:O34" si="40">O23/N$21</f>
        <v>8.3599964005010821E-4</v>
      </c>
      <c r="P30" s="1">
        <f t="shared" si="39"/>
        <v>8.4220939002952724E-4</v>
      </c>
    </row>
    <row r="31" spans="1:16" x14ac:dyDescent="0.3">
      <c r="A31">
        <f t="shared" ref="A31:A34" si="41">A30+1</f>
        <v>2020</v>
      </c>
      <c r="B31" s="1">
        <f t="shared" si="30"/>
        <v>4.982801830511808E-4</v>
      </c>
      <c r="C31" s="1">
        <f t="shared" si="32"/>
        <v>3.912867584019996E-2</v>
      </c>
      <c r="D31" s="1">
        <f t="shared" ref="D31:E31" si="42">D24/D$21</f>
        <v>8.9145874262788333E-3</v>
      </c>
      <c r="E31" s="1">
        <f t="shared" si="42"/>
        <v>-1.6838210653781565E-3</v>
      </c>
      <c r="F31" s="1">
        <f t="shared" si="34"/>
        <v>-4.0955590259568492E-2</v>
      </c>
      <c r="G31" s="1">
        <f t="shared" ref="G31:H31" si="43">G24/G$21</f>
        <v>-4.9974842003049705E-2</v>
      </c>
      <c r="H31" s="1">
        <f t="shared" si="43"/>
        <v>1.6282309226166809E-2</v>
      </c>
      <c r="I31" s="1">
        <f t="shared" si="36"/>
        <v>5.9299649238874347E-2</v>
      </c>
      <c r="J31" s="1">
        <f t="shared" ref="J31:K31" si="44">J24/J$21</f>
        <v>4.137860299964706E-2</v>
      </c>
      <c r="K31" s="1">
        <f t="shared" si="44"/>
        <v>-4.9784829529733975E-2</v>
      </c>
      <c r="L31" s="1">
        <f t="shared" si="38"/>
        <v>9.7625301448145255E-2</v>
      </c>
      <c r="M31" s="1">
        <f t="shared" si="39"/>
        <v>6.5560511493858954E-3</v>
      </c>
      <c r="N31" s="1">
        <f t="shared" si="39"/>
        <v>-1.7116820098508484E-2</v>
      </c>
      <c r="O31" s="1">
        <f t="shared" si="40"/>
        <v>-2.2538075883821958E-2</v>
      </c>
      <c r="P31" s="1">
        <f t="shared" si="39"/>
        <v>-2.2705487219366691E-2</v>
      </c>
    </row>
    <row r="32" spans="1:16" x14ac:dyDescent="0.3">
      <c r="A32">
        <f t="shared" si="41"/>
        <v>2021</v>
      </c>
      <c r="B32" s="1">
        <f t="shared" si="30"/>
        <v>1.0043020893598226E-4</v>
      </c>
      <c r="C32" s="1">
        <f t="shared" si="32"/>
        <v>3.8959615074419765E-2</v>
      </c>
      <c r="D32" s="1">
        <f t="shared" ref="D32:E32" si="45">D25/D$21</f>
        <v>8.7504423336422742E-3</v>
      </c>
      <c r="E32" s="1">
        <f t="shared" si="45"/>
        <v>-9.5910539557566069E-4</v>
      </c>
      <c r="F32" s="1">
        <f t="shared" si="34"/>
        <v>2.8962197885344911E-2</v>
      </c>
      <c r="G32" s="1">
        <f t="shared" ref="G32:H32" si="46">G25/G$21</f>
        <v>1.9285410238185328E-2</v>
      </c>
      <c r="H32" s="1">
        <f t="shared" si="46"/>
        <v>-4.6867409666937528E-3</v>
      </c>
      <c r="I32" s="1">
        <f t="shared" si="36"/>
        <v>1.0814031218652263E-2</v>
      </c>
      <c r="J32" s="1">
        <f t="shared" ref="J32:K32" si="47">J25/J$21</f>
        <v>-6.2867438129877821E-3</v>
      </c>
      <c r="K32" s="1">
        <f t="shared" si="47"/>
        <v>4.884610345729757E-2</v>
      </c>
      <c r="L32" s="1">
        <f t="shared" si="38"/>
        <v>7.7426535804573288E-2</v>
      </c>
      <c r="M32" s="1">
        <f t="shared" si="39"/>
        <v>-1.1966836176062822E-2</v>
      </c>
      <c r="N32" s="1">
        <f t="shared" si="39"/>
        <v>-2.7736433832367363E-3</v>
      </c>
      <c r="O32" s="1">
        <f t="shared" si="40"/>
        <v>-1.5582332447385114E-2</v>
      </c>
      <c r="P32" s="1">
        <f t="shared" si="39"/>
        <v>-1.5698076981184972E-2</v>
      </c>
    </row>
    <row r="33" spans="1:16" x14ac:dyDescent="0.3">
      <c r="A33">
        <f t="shared" si="41"/>
        <v>2022</v>
      </c>
      <c r="B33" s="1">
        <f t="shared" si="30"/>
        <v>-1.0043020893598226E-4</v>
      </c>
      <c r="C33" s="1">
        <f t="shared" si="32"/>
        <v>3.6984746979518167E-2</v>
      </c>
      <c r="D33" s="1">
        <f t="shared" ref="D33:E33" si="48">D26/D$21</f>
        <v>6.832996231427909E-3</v>
      </c>
      <c r="E33" s="1">
        <f t="shared" si="48"/>
        <v>2.1877521881765801E-3</v>
      </c>
      <c r="F33" s="1">
        <f t="shared" si="34"/>
        <v>3.5492501654329212E-2</v>
      </c>
      <c r="G33" s="1">
        <f t="shared" ref="G33:H33" si="49">G26/G$21</f>
        <v>2.5754300319695222E-2</v>
      </c>
      <c r="H33" s="1">
        <f t="shared" si="49"/>
        <v>3.1317038984483118E-2</v>
      </c>
      <c r="I33" s="1">
        <f t="shared" si="36"/>
        <v>5.800264994621588E-2</v>
      </c>
      <c r="J33" s="1">
        <f t="shared" ref="J33:K33" si="50">J26/J$21</f>
        <v>4.0103546114231607E-2</v>
      </c>
      <c r="K33" s="1">
        <f t="shared" si="50"/>
        <v>1.4355007095442546E-2</v>
      </c>
      <c r="L33" s="1">
        <f t="shared" si="38"/>
        <v>0.1033777205672728</v>
      </c>
      <c r="M33" s="1">
        <f t="shared" si="39"/>
        <v>1.1831195832608925E-2</v>
      </c>
      <c r="N33" s="1">
        <f t="shared" si="39"/>
        <v>1.3623593391478483E-2</v>
      </c>
      <c r="O33" s="1">
        <f t="shared" si="40"/>
        <v>5.8328694793076223E-2</v>
      </c>
      <c r="P33" s="1">
        <f t="shared" si="39"/>
        <v>5.8761956476381647E-2</v>
      </c>
    </row>
    <row r="34" spans="1:16" x14ac:dyDescent="0.3">
      <c r="A34">
        <f t="shared" si="41"/>
        <v>2023</v>
      </c>
      <c r="B34" s="1">
        <f t="shared" si="30"/>
        <v>-1.478373539452399E-3</v>
      </c>
      <c r="C34" s="1">
        <f t="shared" si="32"/>
        <v>2.2909497370732709E-2</v>
      </c>
      <c r="D34" s="1">
        <f t="shared" ref="D34:E34" si="51">D27/D$21</f>
        <v>-6.8329962314280564E-3</v>
      </c>
      <c r="E34" s="1">
        <f t="shared" si="51"/>
        <v>-1.4999848651765966E-4</v>
      </c>
      <c r="F34" s="1">
        <f t="shared" si="34"/>
        <v>1.67116416877479E-2</v>
      </c>
      <c r="G34" s="1">
        <f t="shared" ref="G34:H34" si="52">G27/G$21</f>
        <v>7.1500633564673339E-3</v>
      </c>
      <c r="H34" s="1">
        <f t="shared" si="52"/>
        <v>-6.0552239664713611E-2</v>
      </c>
      <c r="I34" s="1">
        <f t="shared" si="36"/>
        <v>-6.0712461249619924E-2</v>
      </c>
      <c r="J34" s="1">
        <f t="shared" ref="J34:K34" si="53">J27/J$21</f>
        <v>-7.6603163588632658E-2</v>
      </c>
      <c r="K34" s="1">
        <f t="shared" si="53"/>
        <v>-1.4355007095442546E-2</v>
      </c>
      <c r="L34" s="1">
        <f t="shared" si="38"/>
        <v>8.2161680519641692E-2</v>
      </c>
      <c r="M34" s="1">
        <f t="shared" si="39"/>
        <v>-7.6245633077789967E-3</v>
      </c>
      <c r="N34" s="1">
        <f t="shared" si="39"/>
        <v>7.1311662556174165E-3</v>
      </c>
      <c r="O34" s="1">
        <f t="shared" si="40"/>
        <v>5.2759252202051091E-2</v>
      </c>
      <c r="P34" s="1">
        <f t="shared" si="39"/>
        <v>5.3151144434512118E-2</v>
      </c>
    </row>
    <row r="35" spans="1:16" x14ac:dyDescent="0.3">
      <c r="A35" t="s">
        <v>63</v>
      </c>
      <c r="B35" s="1" cm="1">
        <f t="array" ref="B35">MAX(ABS(B29:B34))</f>
        <v>1.478373539452399E-3</v>
      </c>
      <c r="C35" s="1" cm="1">
        <f t="array" ref="C35">MAX(ABS(C29:C34))</f>
        <v>3.912867584019996E-2</v>
      </c>
      <c r="D35" s="1" cm="1">
        <f t="array" ref="D35">MAX(ABS(D29:D34))</f>
        <v>2.2719069860507781E-2</v>
      </c>
      <c r="E35" s="1" cm="1">
        <f t="array" ref="E35">MAX(ABS(E29:E34))</f>
        <v>5.3051441373080108E-3</v>
      </c>
      <c r="F35" s="1" cm="1">
        <f t="array" ref="F35">MAX(ABS(F29:F34))</f>
        <v>4.0955590259568492E-2</v>
      </c>
      <c r="G35" s="1" cm="1">
        <f t="array" ref="G35">MAX(ABS(G29:G34))</f>
        <v>4.9974842003049705E-2</v>
      </c>
      <c r="H35" s="1" cm="1">
        <f t="array" ref="H35">MAX(ABS(H29:H34))</f>
        <v>6.0552239664713611E-2</v>
      </c>
      <c r="I35" s="1" cm="1">
        <f t="array" ref="I35">MAX(ABS(I29:I34))</f>
        <v>6.0712461249619924E-2</v>
      </c>
      <c r="J35" s="1" cm="1">
        <f t="array" ref="J35">MAX(ABS(J29:J34))</f>
        <v>7.6603163588632658E-2</v>
      </c>
      <c r="K35" s="1" cm="1">
        <f t="array" ref="K35">MAX(ABS(K29:K34))</f>
        <v>4.9784829529733975E-2</v>
      </c>
      <c r="L35" s="1" cm="1">
        <f t="array" ref="L35">MAX(ABS(L29:L34))</f>
        <v>0.1033777205672728</v>
      </c>
      <c r="M35" s="1" cm="1">
        <f t="array" ref="M35">MAX(ABS(M29:M34))</f>
        <v>1.1966836176062822E-2</v>
      </c>
      <c r="N35" s="1" cm="1">
        <f t="array" ref="N35">MAX(ABS(N29:N34))</f>
        <v>1.7116820098508484E-2</v>
      </c>
      <c r="O35" s="1" cm="1">
        <f t="array" ref="O35">MAX(ABS(O29:O34))</f>
        <v>5.8328694793076223E-2</v>
      </c>
      <c r="P35" s="1" cm="1">
        <f t="array" ref="P35">MAX(ABS(P29:P34))</f>
        <v>5.8761956476381647E-2</v>
      </c>
    </row>
    <row r="36" spans="1:16" x14ac:dyDescent="0.3">
      <c r="A36" t="s">
        <v>64</v>
      </c>
      <c r="B36" s="1">
        <f>AVERAGE(B29:B34)</f>
        <v>-2.6345969942285634E-4</v>
      </c>
      <c r="C36" s="1">
        <f t="shared" ref="C36:L36" si="54">AVERAGE(C29:C34)</f>
        <v>2.7020414922006408E-2</v>
      </c>
      <c r="D36" s="1">
        <f t="shared" ref="D36" si="55">AVERAGE(D29:D34)</f>
        <v>-2.8416092342083052E-3</v>
      </c>
      <c r="E36" s="1">
        <f t="shared" si="54"/>
        <v>8.0832831075512907E-4</v>
      </c>
      <c r="F36" s="1">
        <f t="shared" si="54"/>
        <v>1.2573814135281199E-3</v>
      </c>
      <c r="G36" s="1">
        <f t="shared" ref="G36" si="56">AVERAGE(G29:G34)</f>
        <v>-8.1588586388293711E-3</v>
      </c>
      <c r="H36" s="1">
        <f t="shared" si="54"/>
        <v>-7.098154239783435E-3</v>
      </c>
      <c r="I36" s="1">
        <f t="shared" si="54"/>
        <v>1.4896229524921936E-2</v>
      </c>
      <c r="J36" s="1">
        <f t="shared" ref="J36" si="57">AVERAGE(J29:J34)</f>
        <v>-2.2736074238601731E-3</v>
      </c>
      <c r="K36" s="1">
        <f t="shared" si="54"/>
        <v>1.5724294069914661E-3</v>
      </c>
      <c r="L36" s="1">
        <f t="shared" si="54"/>
        <v>9.0257234543683951E-2</v>
      </c>
      <c r="M36" s="1">
        <f t="shared" ref="M36:P36" si="58">AVERAGE(M29:M34)</f>
        <v>-2.0069208364116632E-4</v>
      </c>
      <c r="N36" s="1">
        <f t="shared" si="58"/>
        <v>1.4404936089179891E-4</v>
      </c>
      <c r="O36" s="1">
        <f t="shared" si="58"/>
        <v>9.2738153368343776E-3</v>
      </c>
      <c r="P36" s="1">
        <f t="shared" si="58"/>
        <v>9.3427006231887964E-3</v>
      </c>
    </row>
    <row r="37" spans="1:16" x14ac:dyDescent="0.3">
      <c r="A37" t="s">
        <v>65</v>
      </c>
      <c r="B37" s="1" cm="1">
        <f t="array" ref="B37">AVERAGE(ABS(B29:B34))</f>
        <v>6.8523236799482388E-4</v>
      </c>
      <c r="C37" s="1" cm="1">
        <f t="array" ref="C37">AVERAGE(ABS(C29:C34))</f>
        <v>2.7020414922006408E-2</v>
      </c>
      <c r="D37" s="1" cm="1">
        <f t="array" ref="D37">AVERAGE(ABS(D29:D34))</f>
        <v>1.1007617897991311E-2</v>
      </c>
      <c r="E37" s="1" cm="1">
        <f t="array" ref="E37">AVERAGE(ABS(E29:E34))</f>
        <v>1.7393032932456209E-3</v>
      </c>
      <c r="F37" s="1" cm="1">
        <f t="array" ref="F37">AVERAGE(ABS(F29:F34))</f>
        <v>2.6556650293423772E-2</v>
      </c>
      <c r="G37" s="1" cm="1">
        <f t="array" ref="G37">AVERAGE(ABS(G29:G34))</f>
        <v>2.5555449943612002E-2</v>
      </c>
      <c r="H37" s="1" cm="1">
        <f t="array" ref="H37">AVERAGE(ABS(H29:H34))</f>
        <v>2.4526850632231288E-2</v>
      </c>
      <c r="I37" s="1" cm="1">
        <f t="array" ref="I37">AVERAGE(ABS(I29:I34))</f>
        <v>3.567717912055475E-2</v>
      </c>
      <c r="J37" s="1" cm="1">
        <f t="array" ref="J37">AVERAGE(ABS(J29:J34))</f>
        <v>3.1529905066148951E-2</v>
      </c>
      <c r="K37" s="1" cm="1">
        <f t="array" ref="K37">AVERAGE(ABS(K29:K34))</f>
        <v>3.141073617652388E-2</v>
      </c>
      <c r="L37" s="1" cm="1">
        <f t="array" ref="L37">AVERAGE(ABS(L29:L34))</f>
        <v>9.0257234543683951E-2</v>
      </c>
      <c r="M37" s="1" cm="1">
        <f t="array" ref="M37">AVERAGE(ABS(M29:M34))</f>
        <v>8.0119847652374721E-3</v>
      </c>
      <c r="N37" s="1" cm="1">
        <f t="array" ref="N37">AVERAGE(ABS(N29:N34))</f>
        <v>7.4891792483352026E-3</v>
      </c>
      <c r="O37" s="1" cm="1">
        <f t="array" ref="O37">AVERAGE(ABS(O29:O34))</f>
        <v>2.8034166874891426E-2</v>
      </c>
      <c r="P37" s="1" cm="1">
        <f t="array" ref="P37">AVERAGE(ABS(P29:P34))</f>
        <v>2.8242402810452299E-2</v>
      </c>
    </row>
    <row r="39" spans="1:16" x14ac:dyDescent="0.3">
      <c r="A39" t="s">
        <v>66</v>
      </c>
      <c r="B39" t="s">
        <v>24</v>
      </c>
      <c r="C39" t="s">
        <v>35</v>
      </c>
      <c r="D39" t="s">
        <v>21</v>
      </c>
      <c r="E39" t="s">
        <v>18</v>
      </c>
    </row>
    <row r="40" spans="1:16" x14ac:dyDescent="0.3">
      <c r="A40" t="s">
        <v>52</v>
      </c>
      <c r="B40">
        <f>MEDIAN('Analysis-AMY only'!N20:N25)</f>
        <v>11058.0646992767</v>
      </c>
      <c r="C40">
        <f>MEDIAN('Analysis-AMY only'!N44:N49)</f>
        <v>10340.51731424625</v>
      </c>
      <c r="D40">
        <f>MEDIAN('Analysis-AMY only'!N14:N19)</f>
        <v>10887.3826074439</v>
      </c>
      <c r="E40">
        <f>MEDIAN('Analysis-AMY only'!N8:N13)</f>
        <v>12411.304110690049</v>
      </c>
    </row>
    <row r="41" spans="1:16" x14ac:dyDescent="0.3">
      <c r="A41">
        <v>2018</v>
      </c>
      <c r="B41">
        <f>'Analysis-AMY only'!N20-Graphics!B$40</f>
        <v>-15.838280060799661</v>
      </c>
      <c r="C41">
        <f>'Analysis-AMY only'!N44-Graphics!C$40</f>
        <v>423.41758112474963</v>
      </c>
      <c r="D41">
        <f>'Analysis-AMY only'!N14-Graphics!D$40</f>
        <v>121.89972866400058</v>
      </c>
      <c r="E41">
        <f>'Analysis-AMY only'!N8-Graphics!E$40</f>
        <v>-4.7074514503492537</v>
      </c>
    </row>
    <row r="42" spans="1:16" x14ac:dyDescent="0.3">
      <c r="A42">
        <f>A41+1</f>
        <v>2019</v>
      </c>
      <c r="B42">
        <f>'Analysis-AMY only'!N21-Graphics!B$40</f>
        <v>-92.212936250900384</v>
      </c>
      <c r="C42">
        <f>'Analysis-AMY only'!N45-Graphics!C$40</f>
        <v>130.09127199565046</v>
      </c>
      <c r="D42">
        <f>'Analysis-AMY only'!N15-Graphics!D$40</f>
        <v>-430.38282184360105</v>
      </c>
      <c r="E42">
        <f>'Analysis-AMY only'!N9-Graphics!E$40</f>
        <v>-202.01632302494909</v>
      </c>
    </row>
    <row r="43" spans="1:16" x14ac:dyDescent="0.3">
      <c r="A43">
        <f t="shared" ref="A43:A46" si="59">A42+1</f>
        <v>2020</v>
      </c>
      <c r="B43">
        <f>'Analysis-AMY only'!N22-Graphics!B$40</f>
        <v>46.554968061000181</v>
      </c>
      <c r="C43">
        <f>'Analysis-AMY only'!N46-Graphics!C$40</f>
        <v>-26.475796481050565</v>
      </c>
      <c r="D43">
        <f>'Analysis-AMY only'!N16-Graphics!D$40</f>
        <v>648.40953739900033</v>
      </c>
      <c r="E43">
        <f>'Analysis-AMY only'!N10-Graphics!E$40</f>
        <v>595.44445670394998</v>
      </c>
    </row>
    <row r="44" spans="1:16" x14ac:dyDescent="0.3">
      <c r="A44">
        <f t="shared" si="59"/>
        <v>2021</v>
      </c>
      <c r="B44">
        <f>'Analysis-AMY only'!N23-Graphics!B$40</f>
        <v>15.838280060799661</v>
      </c>
      <c r="C44">
        <f>'Analysis-AMY only'!N47-Graphics!C$40</f>
        <v>26.475796481050565</v>
      </c>
      <c r="D44">
        <f>'Analysis-AMY only'!N17-Graphics!D$40</f>
        <v>-121.89972866400058</v>
      </c>
      <c r="E44">
        <f>'Analysis-AMY only'!N11-Graphics!E$40</f>
        <v>4.7074514503510727</v>
      </c>
    </row>
    <row r="45" spans="1:16" x14ac:dyDescent="0.3">
      <c r="A45">
        <f t="shared" si="59"/>
        <v>2022</v>
      </c>
      <c r="B45">
        <f>'Analysis-AMY only'!N24-Graphics!B$40</f>
        <v>77.228124205099448</v>
      </c>
      <c r="C45">
        <f>'Analysis-AMY only'!N48-Graphics!C$40</f>
        <v>-26.700297391849745</v>
      </c>
      <c r="D45">
        <f>'Analysis-AMY only'!N18-Graphics!D$40</f>
        <v>819.5443766264998</v>
      </c>
      <c r="E45">
        <f>'Analysis-AMY only'!N12-Graphics!E$40</f>
        <v>22.309738080350144</v>
      </c>
    </row>
    <row r="46" spans="1:16" x14ac:dyDescent="0.3">
      <c r="A46">
        <f t="shared" si="59"/>
        <v>2023</v>
      </c>
      <c r="B46">
        <f>'Analysis-AMY only'!N25-Graphics!B$40</f>
        <v>-238.37841073029995</v>
      </c>
      <c r="C46">
        <f>'Analysis-AMY only'!N49-Graphics!C$40</f>
        <v>-145.05379558744971</v>
      </c>
      <c r="D46">
        <f>'Analysis-AMY only'!N19-Graphics!D$40</f>
        <v>-910.07342497029094</v>
      </c>
      <c r="E46">
        <f>'Analysis-AMY only'!N13-Graphics!E$40</f>
        <v>-7.2785079015484371</v>
      </c>
    </row>
    <row r="47" spans="1:16" x14ac:dyDescent="0.3">
      <c r="B47" s="1"/>
      <c r="C47" s="1"/>
      <c r="D47" s="1"/>
      <c r="E47" s="1"/>
      <c r="G47" s="1"/>
    </row>
    <row r="48" spans="1:16" x14ac:dyDescent="0.3">
      <c r="A48">
        <v>2018</v>
      </c>
      <c r="B48" s="1">
        <f>B41/B$40</f>
        <v>-1.4322831789757599E-3</v>
      </c>
      <c r="C48" s="1">
        <f>C41/B$40</f>
        <v>3.8290387390520972E-2</v>
      </c>
      <c r="D48" s="1">
        <f t="shared" ref="D48:D53" si="60">D41/D$40</f>
        <v>1.1196421863658537E-2</v>
      </c>
      <c r="E48" s="1">
        <f t="shared" ref="E48:E53" si="61">E41/D$40</f>
        <v>-4.3237678146175224E-4</v>
      </c>
      <c r="G48" s="1"/>
    </row>
    <row r="49" spans="1:7" x14ac:dyDescent="0.3">
      <c r="A49">
        <f>A48+1</f>
        <v>2019</v>
      </c>
      <c r="B49" s="1">
        <f t="shared" ref="B49:B53" si="62">B42/B$40</f>
        <v>-8.3389760105972224E-3</v>
      </c>
      <c r="C49" s="1">
        <f t="shared" ref="C49:C53" si="63">C42/B$40</f>
        <v>1.1764379711411857E-2</v>
      </c>
      <c r="D49" s="1">
        <f t="shared" si="60"/>
        <v>-3.9530421347490859E-2</v>
      </c>
      <c r="E49" s="1">
        <f t="shared" si="61"/>
        <v>-1.8555086223095246E-2</v>
      </c>
      <c r="G49" s="1"/>
    </row>
    <row r="50" spans="1:7" x14ac:dyDescent="0.3">
      <c r="A50">
        <f t="shared" ref="A50:A53" si="64">A49+1</f>
        <v>2020</v>
      </c>
      <c r="B50" s="1">
        <f t="shared" si="62"/>
        <v>4.2100466335709998E-3</v>
      </c>
      <c r="C50" s="1">
        <f t="shared" si="63"/>
        <v>-2.3942522675583847E-3</v>
      </c>
      <c r="D50" s="1">
        <f t="shared" si="60"/>
        <v>5.9556053165218149E-2</v>
      </c>
      <c r="E50" s="1">
        <f t="shared" si="61"/>
        <v>5.4691240142220578E-2</v>
      </c>
      <c r="G50" s="1"/>
    </row>
    <row r="51" spans="1:7" x14ac:dyDescent="0.3">
      <c r="A51">
        <f t="shared" si="64"/>
        <v>2021</v>
      </c>
      <c r="B51" s="1">
        <f t="shared" si="62"/>
        <v>1.4322831789757599E-3</v>
      </c>
      <c r="C51" s="1">
        <f t="shared" si="63"/>
        <v>2.3942522675583847E-3</v>
      </c>
      <c r="D51" s="1">
        <f t="shared" si="60"/>
        <v>-1.1196421863658537E-2</v>
      </c>
      <c r="E51" s="1">
        <f t="shared" si="61"/>
        <v>4.3237678146191931E-4</v>
      </c>
      <c r="G51" s="1"/>
    </row>
    <row r="52" spans="1:7" x14ac:dyDescent="0.3">
      <c r="A52">
        <f t="shared" si="64"/>
        <v>2022</v>
      </c>
      <c r="B52" s="1">
        <f t="shared" si="62"/>
        <v>6.9838734267987134E-3</v>
      </c>
      <c r="C52" s="1">
        <f t="shared" si="63"/>
        <v>-2.4145542749081754E-3</v>
      </c>
      <c r="D52" s="1">
        <f t="shared" si="60"/>
        <v>7.5274692382553215E-2</v>
      </c>
      <c r="E52" s="1">
        <f t="shared" si="61"/>
        <v>2.049136958326106E-3</v>
      </c>
      <c r="G52" s="1"/>
    </row>
    <row r="53" spans="1:7" x14ac:dyDescent="0.3">
      <c r="A53">
        <f t="shared" si="64"/>
        <v>2023</v>
      </c>
      <c r="B53" s="1">
        <f t="shared" si="62"/>
        <v>-2.1556973775518976E-2</v>
      </c>
      <c r="C53" s="1">
        <f t="shared" si="63"/>
        <v>-1.3117466711597156E-2</v>
      </c>
      <c r="D53" s="1">
        <f t="shared" si="60"/>
        <v>-8.3589734813586627E-2</v>
      </c>
      <c r="E53" s="1">
        <f t="shared" si="61"/>
        <v>-6.6852687776141804E-4</v>
      </c>
      <c r="G53" s="1"/>
    </row>
    <row r="54" spans="1:7" x14ac:dyDescent="0.3">
      <c r="A54" t="s">
        <v>63</v>
      </c>
      <c r="B54" s="1" cm="1">
        <f t="array" ref="B54">MAX(ABS(B48:B53))</f>
        <v>2.1556973775518976E-2</v>
      </c>
      <c r="C54" s="1" cm="1">
        <f t="array" ref="C54">MAX(ABS(C48:C53))</f>
        <v>3.8290387390520972E-2</v>
      </c>
      <c r="D54" s="1" cm="1">
        <f t="array" ref="D54">MAX(ABS(D48:D53))</f>
        <v>8.3589734813586627E-2</v>
      </c>
      <c r="E54" s="1" cm="1">
        <f t="array" ref="E54">MAX(ABS(E48:E53))</f>
        <v>5.4691240142220578E-2</v>
      </c>
      <c r="G54" s="1"/>
    </row>
    <row r="55" spans="1:7" x14ac:dyDescent="0.3">
      <c r="A55" t="s">
        <v>64</v>
      </c>
      <c r="B55" s="1">
        <f>AVERAGE(B48:B53)</f>
        <v>-3.1170049542910811E-3</v>
      </c>
      <c r="C55" s="1">
        <f t="shared" ref="C55" si="65">AVERAGE(C48:C53)</f>
        <v>5.7537910192379171E-3</v>
      </c>
      <c r="D55" s="1">
        <f>AVERAGE(D48:D53)</f>
        <v>1.951764897782313E-3</v>
      </c>
      <c r="E55" s="1">
        <f>AVERAGE(E48:E53)</f>
        <v>6.2527939999483658E-3</v>
      </c>
      <c r="G55" s="1"/>
    </row>
    <row r="56" spans="1:7" x14ac:dyDescent="0.3">
      <c r="A56" t="s">
        <v>65</v>
      </c>
      <c r="B56" s="1" cm="1">
        <f t="array" ref="B56">AVERAGE(ABS(B48:B53))</f>
        <v>7.3257393674062386E-3</v>
      </c>
      <c r="C56" s="1" cm="1">
        <f t="array" ref="C56">AVERAGE(ABS(C48:C53))</f>
        <v>1.1729215437259154E-2</v>
      </c>
      <c r="D56" s="1" cm="1">
        <f t="array" ref="D56">AVERAGE(ABS(D48:D53))</f>
        <v>4.6723957572694319E-2</v>
      </c>
      <c r="E56" s="1" cm="1">
        <f t="array" ref="E56">AVERAGE(ABS(E48:E53))</f>
        <v>1.2804790627387838E-2</v>
      </c>
      <c r="G56" s="1"/>
    </row>
    <row r="57" spans="1:7" x14ac:dyDescent="0.3">
      <c r="B57" s="1"/>
      <c r="C57" s="1"/>
      <c r="D57" s="1"/>
      <c r="E57" s="1"/>
      <c r="G57" s="1"/>
    </row>
    <row r="58" spans="1:7" x14ac:dyDescent="0.3">
      <c r="B58" s="1"/>
      <c r="C58" s="1"/>
      <c r="D58" s="1"/>
      <c r="E58" s="1"/>
      <c r="G58" s="1"/>
    </row>
    <row r="59" spans="1:7" x14ac:dyDescent="0.3">
      <c r="A59" t="s">
        <v>67</v>
      </c>
      <c r="B59" t="s">
        <v>24</v>
      </c>
      <c r="C59" t="s">
        <v>35</v>
      </c>
      <c r="D59" t="s">
        <v>21</v>
      </c>
      <c r="E59" t="s">
        <v>18</v>
      </c>
      <c r="F59" t="s">
        <v>13</v>
      </c>
    </row>
    <row r="60" spans="1:7" x14ac:dyDescent="0.3">
      <c r="B60">
        <f>'Analysis-TMY only'!L20</f>
        <v>9971.3266799887006</v>
      </c>
      <c r="C60">
        <f>'Analysis-TMY only'!L44</f>
        <v>8065.73173098598</v>
      </c>
      <c r="D60">
        <f>'Analysis-TMY only'!L14</f>
        <v>11233.731410124399</v>
      </c>
      <c r="E60">
        <f>'Analysis-TMY only'!L8</f>
        <v>11330.222374223</v>
      </c>
      <c r="F60">
        <f>'Analysis-TMY only'!L2</f>
        <v>9041.8682375594399</v>
      </c>
    </row>
    <row r="61" spans="1:7" x14ac:dyDescent="0.3">
      <c r="A61" t="s">
        <v>52</v>
      </c>
      <c r="B61">
        <f>MEDIAN('Analysis-AMY only'!O20:O25)</f>
        <v>10291.1346366128</v>
      </c>
      <c r="C61">
        <f>MEDIAN('Analysis-AMY only'!O44:O49)</f>
        <v>8127.1037412824398</v>
      </c>
      <c r="D61">
        <f>MEDIAN('Analysis-AMY only'!O14:O19)</f>
        <v>11258.26732684285</v>
      </c>
      <c r="E61">
        <f>MEDIAN('Analysis-AMY only'!O8:O13)</f>
        <v>11419.448537703051</v>
      </c>
    </row>
    <row r="62" spans="1:7" x14ac:dyDescent="0.3">
      <c r="A62">
        <v>2018</v>
      </c>
      <c r="B62">
        <f>'Analysis-AMY only'!O20-Graphics!B$61</f>
        <v>-158.71496596259931</v>
      </c>
      <c r="C62">
        <f>'Analysis-AMY only'!O44-Graphics!C$61</f>
        <v>-395.38396834600007</v>
      </c>
      <c r="D62">
        <f>'Analysis-AMY only'!O14-Graphics!D$61</f>
        <v>21.124336551649321</v>
      </c>
      <c r="E62">
        <f>'Analysis-AMY only'!O8-Graphics!E$61</f>
        <v>-107.37284097405063</v>
      </c>
    </row>
    <row r="63" spans="1:7" x14ac:dyDescent="0.3">
      <c r="A63">
        <f>A62+1</f>
        <v>2019</v>
      </c>
      <c r="B63">
        <f>'Analysis-AMY only'!O21-Graphics!B$61</f>
        <v>-226.2866730993992</v>
      </c>
      <c r="C63">
        <f>'Analysis-AMY only'!O45-Graphics!C$61</f>
        <v>-95.607574122289407</v>
      </c>
      <c r="D63">
        <f>'Analysis-AMY only'!O15-Graphics!D$61</f>
        <v>-91.314120228649699</v>
      </c>
      <c r="E63">
        <f>'Analysis-AMY only'!O9-Graphics!E$61</f>
        <v>-82.661635571150327</v>
      </c>
    </row>
    <row r="64" spans="1:7" x14ac:dyDescent="0.3">
      <c r="A64">
        <f t="shared" ref="A64:A67" si="66">A63+1</f>
        <v>2020</v>
      </c>
      <c r="B64">
        <f>'Analysis-AMY only'!O22-Graphics!B$61</f>
        <v>121.63051972699941</v>
      </c>
      <c r="C64">
        <f>'Analysis-AMY only'!O46-Graphics!C$61</f>
        <v>-426.09896225054945</v>
      </c>
      <c r="D64">
        <f>'Analysis-AMY only'!O16-Graphics!D$61</f>
        <v>299.83828637465012</v>
      </c>
      <c r="E64">
        <f>'Analysis-AMY only'!O10-Graphics!E$61</f>
        <v>436.42350294485004</v>
      </c>
    </row>
    <row r="65" spans="1:7" x14ac:dyDescent="0.3">
      <c r="A65">
        <f t="shared" si="66"/>
        <v>2021</v>
      </c>
      <c r="B65">
        <f>'Analysis-AMY only'!O23-Graphics!B$61</f>
        <v>72.508948360900831</v>
      </c>
      <c r="C65">
        <f>'Analysis-AMY only'!O47-Graphics!C$61</f>
        <v>224.77755234169945</v>
      </c>
      <c r="D65">
        <f>'Analysis-AMY only'!O17-Graphics!D$61</f>
        <v>-21.124336551649321</v>
      </c>
      <c r="E65">
        <f>'Analysis-AMY only'!O11-Graphics!E$61</f>
        <v>24.026517854748818</v>
      </c>
    </row>
    <row r="66" spans="1:7" x14ac:dyDescent="0.3">
      <c r="A66">
        <f t="shared" si="66"/>
        <v>2022</v>
      </c>
      <c r="B66">
        <f>'Analysis-AMY only'!O24-Graphics!B$61</f>
        <v>128.75814936640018</v>
      </c>
      <c r="C66">
        <f>'Analysis-AMY only'!O48-Graphics!C$61</f>
        <v>208.05818668768097</v>
      </c>
      <c r="D66">
        <f>'Analysis-AMY only'!O18-Graphics!D$61</f>
        <v>422.99044616815081</v>
      </c>
      <c r="E66">
        <f>'Analysis-AMY only'!O12-Graphics!E$61</f>
        <v>-24.026517854750637</v>
      </c>
    </row>
    <row r="67" spans="1:7" x14ac:dyDescent="0.3">
      <c r="A67">
        <f t="shared" si="66"/>
        <v>2023</v>
      </c>
      <c r="B67">
        <f>'Analysis-AMY only'!O25-Graphics!B$61</f>
        <v>-72.508948360900831</v>
      </c>
      <c r="C67">
        <f>'Analysis-AMY only'!O49-Graphics!C$61</f>
        <v>95.607574122289407</v>
      </c>
      <c r="D67">
        <f>'Analysis-AMY only'!O19-Graphics!D$61</f>
        <v>-689.62267967505068</v>
      </c>
      <c r="E67">
        <f>'Analysis-AMY only'!O13-Graphics!E$61</f>
        <v>140.38928100804878</v>
      </c>
    </row>
    <row r="69" spans="1:7" x14ac:dyDescent="0.3">
      <c r="A69">
        <v>2018</v>
      </c>
      <c r="B69" s="1">
        <f>B62/B$61</f>
        <v>-1.5422494366941679E-2</v>
      </c>
      <c r="C69" s="1">
        <f>C62/B$61</f>
        <v>-3.8419861590318849E-2</v>
      </c>
      <c r="D69" s="1">
        <f t="shared" ref="D69:D74" si="67">D62/D$61</f>
        <v>1.8763399321033184E-3</v>
      </c>
      <c r="E69" s="1">
        <f t="shared" ref="E69:E74" si="68">E62/D$61</f>
        <v>-9.5372438632758197E-3</v>
      </c>
      <c r="G69" s="1"/>
    </row>
    <row r="70" spans="1:7" x14ac:dyDescent="0.3">
      <c r="A70">
        <f>A69+1</f>
        <v>2019</v>
      </c>
      <c r="B70" s="1">
        <f t="shared" ref="B70:B74" si="69">B63/B$61</f>
        <v>-2.1988505746911368E-2</v>
      </c>
      <c r="C70" s="1">
        <f t="shared" ref="C70:C74" si="70">C63/B$61</f>
        <v>-9.290285036418244E-3</v>
      </c>
      <c r="D70" s="1">
        <f t="shared" si="67"/>
        <v>-8.1108502381118056E-3</v>
      </c>
      <c r="E70" s="1">
        <f t="shared" si="68"/>
        <v>-7.3423052741039404E-3</v>
      </c>
      <c r="G70" s="1"/>
    </row>
    <row r="71" spans="1:7" x14ac:dyDescent="0.3">
      <c r="A71">
        <f t="shared" ref="A71:A74" si="71">A70+1</f>
        <v>2020</v>
      </c>
      <c r="B71" s="1">
        <f t="shared" si="69"/>
        <v>1.18189610788177E-2</v>
      </c>
      <c r="C71" s="1">
        <f t="shared" si="70"/>
        <v>-4.1404468729290149E-2</v>
      </c>
      <c r="D71" s="1">
        <f t="shared" si="67"/>
        <v>2.6632720441781658E-2</v>
      </c>
      <c r="E71" s="1">
        <f t="shared" si="68"/>
        <v>3.876471310148185E-2</v>
      </c>
      <c r="G71" s="1"/>
    </row>
    <row r="72" spans="1:7" x14ac:dyDescent="0.3">
      <c r="A72">
        <f t="shared" si="71"/>
        <v>2021</v>
      </c>
      <c r="B72" s="1">
        <f t="shared" si="69"/>
        <v>7.0457681219071346E-3</v>
      </c>
      <c r="C72" s="1">
        <f t="shared" si="70"/>
        <v>2.1841862950855554E-2</v>
      </c>
      <c r="D72" s="1">
        <f t="shared" si="67"/>
        <v>-1.8763399321033184E-3</v>
      </c>
      <c r="E72" s="1">
        <f t="shared" si="68"/>
        <v>2.1341221661580994E-3</v>
      </c>
      <c r="G72" s="1"/>
    </row>
    <row r="73" spans="1:7" x14ac:dyDescent="0.3">
      <c r="A73">
        <f t="shared" si="71"/>
        <v>2022</v>
      </c>
      <c r="B73" s="1">
        <f t="shared" si="69"/>
        <v>1.2511560086709674E-2</v>
      </c>
      <c r="C73" s="1">
        <f t="shared" si="70"/>
        <v>2.021722521707876E-2</v>
      </c>
      <c r="D73" s="1">
        <f t="shared" si="67"/>
        <v>3.7571540441185262E-2</v>
      </c>
      <c r="E73" s="1">
        <f t="shared" si="68"/>
        <v>-2.1341221661582608E-3</v>
      </c>
      <c r="G73" s="1"/>
    </row>
    <row r="74" spans="1:7" x14ac:dyDescent="0.3">
      <c r="A74">
        <f t="shared" si="71"/>
        <v>2023</v>
      </c>
      <c r="B74" s="1">
        <f t="shared" si="69"/>
        <v>-7.0457681219071346E-3</v>
      </c>
      <c r="C74" s="1">
        <f t="shared" si="70"/>
        <v>9.290285036418244E-3</v>
      </c>
      <c r="D74" s="1">
        <f t="shared" si="67"/>
        <v>-6.1254779235060251E-2</v>
      </c>
      <c r="E74" s="1">
        <f t="shared" si="68"/>
        <v>1.2469883413882133E-2</v>
      </c>
      <c r="G74" s="1"/>
    </row>
    <row r="75" spans="1:7" x14ac:dyDescent="0.3">
      <c r="A75" t="s">
        <v>63</v>
      </c>
      <c r="B75" s="1" cm="1">
        <f t="array" ref="B75">MAX(ABS(B69:B74))</f>
        <v>2.1988505746911368E-2</v>
      </c>
      <c r="C75" s="1" cm="1">
        <f t="array" ref="C75">MAX(ABS(C69:C74))</f>
        <v>4.1404468729290149E-2</v>
      </c>
      <c r="D75" s="1" cm="1">
        <f t="array" ref="D75">MAX(ABS(D69:D74))</f>
        <v>6.1254779235060251E-2</v>
      </c>
      <c r="E75" s="1" cm="1">
        <f t="array" ref="E75">MAX(ABS(E69:E74))</f>
        <v>3.876471310148185E-2</v>
      </c>
      <c r="G75" s="1"/>
    </row>
    <row r="76" spans="1:7" x14ac:dyDescent="0.3">
      <c r="A76" t="s">
        <v>64</v>
      </c>
      <c r="B76" s="1">
        <f>AVERAGE(B69:B74)</f>
        <v>-2.1800798247209453E-3</v>
      </c>
      <c r="C76" s="1">
        <f t="shared" ref="C76" si="72">AVERAGE(C69:C74)</f>
        <v>-6.2942070252791143E-3</v>
      </c>
      <c r="D76" s="1">
        <f>AVERAGE(D69:D74)</f>
        <v>-8.6022809836752354E-4</v>
      </c>
      <c r="E76" s="1">
        <f>AVERAGE(E69:E74)</f>
        <v>5.7258412296640098E-3</v>
      </c>
      <c r="G76" s="1"/>
    </row>
    <row r="77" spans="1:7" x14ac:dyDescent="0.3">
      <c r="A77" t="s">
        <v>65</v>
      </c>
      <c r="B77" s="1" cm="1">
        <f t="array" ref="B77">AVERAGE(ABS(B69:B74))</f>
        <v>1.2638842920532446E-2</v>
      </c>
      <c r="C77" s="1" cm="1">
        <f t="array" ref="C77">AVERAGE(ABS(C69:C74))</f>
        <v>2.3410664760063298E-2</v>
      </c>
      <c r="D77" s="1" cm="1">
        <f t="array" ref="D77">AVERAGE(ABS(D69:D74))</f>
        <v>2.2887095036724269E-2</v>
      </c>
      <c r="E77" s="1" cm="1">
        <f t="array" ref="E77">AVERAGE(ABS(E69:E74))</f>
        <v>1.2063731664176685E-2</v>
      </c>
      <c r="G77" s="1"/>
    </row>
    <row r="78" spans="1:7" x14ac:dyDescent="0.3">
      <c r="A78" t="s">
        <v>71</v>
      </c>
      <c r="B78" t="s">
        <v>24</v>
      </c>
      <c r="C78" t="s">
        <v>35</v>
      </c>
      <c r="D78" t="s">
        <v>21</v>
      </c>
      <c r="E78" t="s">
        <v>18</v>
      </c>
      <c r="F78" t="s">
        <v>13</v>
      </c>
    </row>
    <row r="79" spans="1:7" x14ac:dyDescent="0.3">
      <c r="A79">
        <v>2018</v>
      </c>
      <c r="B79">
        <f>'Analysis-AMY only'!O20-Graphics!B$60</f>
        <v>161.09299066150015</v>
      </c>
      <c r="C79">
        <f>'Analysis-AMY only'!O44-Graphics!C$60</f>
        <v>-334.01195804954023</v>
      </c>
      <c r="D79">
        <f>'Analysis-AMY only'!O14-Graphics!D$60</f>
        <v>45.660253270099929</v>
      </c>
      <c r="E79">
        <f>'Analysis-AMY only'!O8-Graphics!E$60</f>
        <v>-18.14667749399996</v>
      </c>
      <c r="F79">
        <f>'Analysis-AMY only'!O2-Graphics!F$60</f>
        <v>-420.73762409427036</v>
      </c>
    </row>
    <row r="80" spans="1:7" x14ac:dyDescent="0.3">
      <c r="A80">
        <f>A79+1</f>
        <v>2019</v>
      </c>
      <c r="B80">
        <f>'Analysis-AMY only'!O21-Graphics!B$60</f>
        <v>93.521283524700266</v>
      </c>
      <c r="C80">
        <f>'Analysis-AMY only'!O45-Graphics!C$60</f>
        <v>-34.235563825829558</v>
      </c>
      <c r="D80">
        <f>'Analysis-AMY only'!O15-Graphics!D$60</f>
        <v>-66.778203510199091</v>
      </c>
      <c r="E80">
        <f>'Analysis-AMY only'!O9-Graphics!E$60</f>
        <v>6.5645279089003452</v>
      </c>
      <c r="F80">
        <f>'Analysis-AMY only'!O3-Graphics!F$60</f>
        <v>-325.12381356220976</v>
      </c>
    </row>
    <row r="81" spans="1:6" x14ac:dyDescent="0.3">
      <c r="A81">
        <f t="shared" ref="A81:A84" si="73">A80+1</f>
        <v>2020</v>
      </c>
      <c r="B81">
        <f>'Analysis-AMY only'!O22-Graphics!B$60</f>
        <v>441.43847635109887</v>
      </c>
      <c r="C81">
        <f>'Analysis-AMY only'!O46-Graphics!C$60</f>
        <v>-364.7269519540896</v>
      </c>
      <c r="D81">
        <f>'Analysis-AMY only'!O16-Graphics!D$60</f>
        <v>324.37420309310073</v>
      </c>
      <c r="E81">
        <f>'Analysis-AMY only'!O10-Graphics!E$60</f>
        <v>525.64966642490072</v>
      </c>
      <c r="F81">
        <f>'Analysis-AMY only'!O4-Graphics!F$60</f>
        <v>-407.13015137275943</v>
      </c>
    </row>
    <row r="82" spans="1:6" x14ac:dyDescent="0.3">
      <c r="A82">
        <f t="shared" si="73"/>
        <v>2021</v>
      </c>
      <c r="B82">
        <f>'Analysis-AMY only'!O23-Graphics!B$60</f>
        <v>392.31690498500029</v>
      </c>
      <c r="C82">
        <f>'Analysis-AMY only'!O47-Graphics!C$60</f>
        <v>286.1495626381593</v>
      </c>
      <c r="D82">
        <f>'Analysis-AMY only'!O17-Graphics!D$60</f>
        <v>3.4115801668012864</v>
      </c>
      <c r="E82">
        <f>'Analysis-AMY only'!O11-Graphics!E$60</f>
        <v>113.25268133479949</v>
      </c>
      <c r="F82">
        <f>'Analysis-AMY only'!O5-Graphics!F$60</f>
        <v>-194.59786486110897</v>
      </c>
    </row>
    <row r="83" spans="1:6" x14ac:dyDescent="0.3">
      <c r="A83">
        <f t="shared" si="73"/>
        <v>2022</v>
      </c>
      <c r="B83">
        <f>'Analysis-AMY only'!O24-Graphics!B$60</f>
        <v>448.56610599049964</v>
      </c>
      <c r="C83">
        <f>'Analysis-AMY only'!O48-Graphics!C$60</f>
        <v>269.43019698414082</v>
      </c>
      <c r="D83">
        <f>'Analysis-AMY only'!O18-Graphics!D$60</f>
        <v>447.52636288660142</v>
      </c>
      <c r="E83">
        <f>'Analysis-AMY only'!O12-Graphics!E$60</f>
        <v>65.199645625300036</v>
      </c>
      <c r="F83">
        <f>'Analysis-AMY only'!O6-Graphics!F$60</f>
        <v>482.64829808314971</v>
      </c>
    </row>
    <row r="84" spans="1:6" x14ac:dyDescent="0.3">
      <c r="A84">
        <f t="shared" si="73"/>
        <v>2023</v>
      </c>
      <c r="B84">
        <f>'Analysis-AMY only'!O25-Graphics!B$60</f>
        <v>247.29900826319863</v>
      </c>
      <c r="C84">
        <f>'Analysis-AMY only'!O49-Graphics!C$60</f>
        <v>156.97958441874925</v>
      </c>
      <c r="D84">
        <f>'Analysis-AMY only'!O19-Graphics!D$60</f>
        <v>-665.08676295660007</v>
      </c>
      <c r="E84">
        <f>'Analysis-AMY only'!O13-Graphics!E$60</f>
        <v>229.61544448809946</v>
      </c>
      <c r="F84">
        <f>'Analysis-AMY only'!O7-Graphics!F$60</f>
        <v>208.39518821899037</v>
      </c>
    </row>
    <row r="86" spans="1:6" x14ac:dyDescent="0.3">
      <c r="A86">
        <v>2018</v>
      </c>
      <c r="B86" s="1">
        <f>B79/B$60</f>
        <v>1.6155622599828681E-2</v>
      </c>
      <c r="C86" s="1">
        <f>C79/C$60</f>
        <v>-4.1411240689592038E-2</v>
      </c>
      <c r="D86" s="1">
        <f>D79/D$60</f>
        <v>4.0645669371219464E-3</v>
      </c>
      <c r="E86" s="1">
        <f>E79/E$60</f>
        <v>-1.6016170640467608E-3</v>
      </c>
      <c r="F86" s="1">
        <f>F79/F$60</f>
        <v>-4.6532156081035184E-2</v>
      </c>
    </row>
    <row r="87" spans="1:6" x14ac:dyDescent="0.3">
      <c r="A87">
        <f>A86+1</f>
        <v>2019</v>
      </c>
      <c r="B87" s="1">
        <f t="shared" ref="B87:E87" si="74">B80/B$60</f>
        <v>9.3790211198662935E-3</v>
      </c>
      <c r="C87" s="1">
        <f t="shared" si="74"/>
        <v>-4.2445701106456832E-3</v>
      </c>
      <c r="D87" s="1">
        <f t="shared" si="74"/>
        <v>-5.9444365431432023E-3</v>
      </c>
      <c r="E87" s="1">
        <f t="shared" si="74"/>
        <v>5.793820890784172E-4</v>
      </c>
      <c r="F87" s="1">
        <f t="shared" ref="F87" si="75">F80/F$60</f>
        <v>-3.5957592504131254E-2</v>
      </c>
    </row>
    <row r="88" spans="1:6" x14ac:dyDescent="0.3">
      <c r="A88">
        <f t="shared" ref="A88:A91" si="76">A87+1</f>
        <v>2020</v>
      </c>
      <c r="B88" s="1">
        <f t="shared" ref="B88:E88" si="77">B81/B$60</f>
        <v>4.4270786678468253E-2</v>
      </c>
      <c r="C88" s="1">
        <f t="shared" si="77"/>
        <v>-4.5219325923390744E-2</v>
      </c>
      <c r="D88" s="1">
        <f t="shared" si="77"/>
        <v>2.8875018571367882E-2</v>
      </c>
      <c r="E88" s="1">
        <f t="shared" si="77"/>
        <v>4.6393587792309197E-2</v>
      </c>
      <c r="F88" s="1">
        <f t="shared" ref="F88" si="78">F81/F$60</f>
        <v>-4.5027215689956906E-2</v>
      </c>
    </row>
    <row r="89" spans="1:6" x14ac:dyDescent="0.3">
      <c r="A89">
        <f t="shared" si="76"/>
        <v>2021</v>
      </c>
      <c r="B89" s="1">
        <f t="shared" ref="B89:E89" si="79">B82/B$60</f>
        <v>3.9344504254617892E-2</v>
      </c>
      <c r="C89" s="1">
        <f t="shared" si="79"/>
        <v>3.5477198124364034E-2</v>
      </c>
      <c r="D89" s="1">
        <f t="shared" si="79"/>
        <v>3.0369073660837219E-4</v>
      </c>
      <c r="E89" s="1">
        <f t="shared" si="79"/>
        <v>9.9956274108491273E-3</v>
      </c>
      <c r="F89" s="1">
        <f t="shared" ref="F89" si="80">F82/F$60</f>
        <v>-2.1521864701894215E-2</v>
      </c>
    </row>
    <row r="90" spans="1:6" x14ac:dyDescent="0.3">
      <c r="A90">
        <f t="shared" si="76"/>
        <v>2022</v>
      </c>
      <c r="B90" s="1">
        <f t="shared" ref="B90:E90" si="81">B83/B$60</f>
        <v>4.4985599247361931E-2</v>
      </c>
      <c r="C90" s="1">
        <f t="shared" si="81"/>
        <v>3.340430923943026E-2</v>
      </c>
      <c r="D90" s="1">
        <f t="shared" si="81"/>
        <v>3.9837730362973459E-2</v>
      </c>
      <c r="E90" s="1">
        <f t="shared" si="81"/>
        <v>5.7544894947193191E-3</v>
      </c>
      <c r="F90" s="1">
        <f t="shared" ref="F90" si="82">F83/F$60</f>
        <v>5.3379266917234464E-2</v>
      </c>
    </row>
    <row r="91" spans="1:6" x14ac:dyDescent="0.3">
      <c r="A91">
        <f t="shared" si="76"/>
        <v>2023</v>
      </c>
      <c r="B91" s="1">
        <f t="shared" ref="B91:E91" si="83">B84/B$60</f>
        <v>2.4801013566178625E-2</v>
      </c>
      <c r="C91" s="1">
        <f t="shared" si="83"/>
        <v>1.9462534789705881E-2</v>
      </c>
      <c r="D91" s="1">
        <f t="shared" si="83"/>
        <v>-5.9204438727918196E-2</v>
      </c>
      <c r="E91" s="1">
        <f t="shared" si="83"/>
        <v>2.0265749153387289E-2</v>
      </c>
      <c r="F91" s="1">
        <f t="shared" ref="F91" si="84">F84/F$60</f>
        <v>2.3047801930283371E-2</v>
      </c>
    </row>
    <row r="92" spans="1:6" x14ac:dyDescent="0.3">
      <c r="A92" t="s">
        <v>63</v>
      </c>
      <c r="B92" s="1" cm="1">
        <f t="array" ref="B92">MAX(ABS(B86:B91))</f>
        <v>4.4985599247361931E-2</v>
      </c>
      <c r="C92" s="1" cm="1">
        <f t="array" ref="C92">MAX(ABS(C86:C91))</f>
        <v>4.5219325923390744E-2</v>
      </c>
      <c r="D92" s="1" cm="1">
        <f t="array" ref="D92">MAX(ABS(D86:D91))</f>
        <v>5.9204438727918196E-2</v>
      </c>
      <c r="E92" s="1" cm="1">
        <f t="array" ref="E92">MAX(ABS(E86:E91))</f>
        <v>4.6393587792309197E-2</v>
      </c>
      <c r="F92" s="1" cm="1">
        <f t="array" ref="F92">MAX(ABS(F86:F91))</f>
        <v>5.3379266917234464E-2</v>
      </c>
    </row>
    <row r="93" spans="1:6" x14ac:dyDescent="0.3">
      <c r="A93" t="s">
        <v>64</v>
      </c>
      <c r="B93" s="1">
        <f>AVERAGE(B86:B91)</f>
        <v>2.9822757911053609E-2</v>
      </c>
      <c r="C93" s="1">
        <f t="shared" ref="C93" si="85">AVERAGE(C86:C91)</f>
        <v>-4.2184909502138043E-4</v>
      </c>
      <c r="D93" s="1">
        <f>AVERAGE(D86:D91)</f>
        <v>1.3220218895017104E-3</v>
      </c>
      <c r="E93" s="1">
        <f>AVERAGE(E86:E91)</f>
        <v>1.3564536479382765E-2</v>
      </c>
      <c r="F93" s="1">
        <f>AVERAGE(F86:F91)</f>
        <v>-1.2101960021583287E-2</v>
      </c>
    </row>
    <row r="94" spans="1:6" x14ac:dyDescent="0.3">
      <c r="A94" t="s">
        <v>65</v>
      </c>
      <c r="B94" s="1" cm="1">
        <f t="array" ref="B94">AVERAGE(ABS(B86:B91))</f>
        <v>2.9822757911053609E-2</v>
      </c>
      <c r="C94" s="1" cm="1">
        <f t="array" ref="C94">AVERAGE(ABS(C86:C91))</f>
        <v>2.9869863146188103E-2</v>
      </c>
      <c r="D94" s="1" cm="1">
        <f t="array" ref="D94">AVERAGE(ABS(D86:D91))</f>
        <v>2.3038313646522177E-2</v>
      </c>
      <c r="E94" s="1" cm="1">
        <f t="array" ref="E94">AVERAGE(ABS(E86:E91))</f>
        <v>1.4098408834065018E-2</v>
      </c>
      <c r="F94" s="1" cm="1">
        <f t="array" ref="F94">AVERAGE(ABS(F86:F91))</f>
        <v>3.7577649637422571E-2</v>
      </c>
    </row>
    <row r="95" spans="1:6" x14ac:dyDescent="0.3">
      <c r="B95" t="s">
        <v>24</v>
      </c>
      <c r="C95" t="s">
        <v>35</v>
      </c>
      <c r="D95" t="s">
        <v>21</v>
      </c>
      <c r="E95" t="s">
        <v>18</v>
      </c>
      <c r="F95" t="s">
        <v>13</v>
      </c>
    </row>
    <row r="96" spans="1:6" x14ac:dyDescent="0.3">
      <c r="A96" t="s">
        <v>72</v>
      </c>
      <c r="B96" s="1">
        <f>C17-B93</f>
        <v>1.058697610927823E-3</v>
      </c>
      <c r="C96" s="1">
        <f>F17-C93</f>
        <v>1.4646057244182618E-3</v>
      </c>
      <c r="D96" s="1">
        <f>I17-D93</f>
        <v>1.8244139609486409E-2</v>
      </c>
      <c r="E96" s="1">
        <f>L17-E93</f>
        <v>1.429906015643349E-2</v>
      </c>
      <c r="F96" s="1">
        <f>O17-F93</f>
        <v>2.1317504261886368E-2</v>
      </c>
    </row>
    <row r="97" spans="1:6" x14ac:dyDescent="0.3">
      <c r="A97" t="s">
        <v>73</v>
      </c>
      <c r="B97" s="1">
        <f>C36-B93</f>
        <v>-2.8023429890472011E-3</v>
      </c>
      <c r="C97" s="1">
        <f>E36-C93</f>
        <v>1.2301774057765094E-3</v>
      </c>
      <c r="D97" s="1">
        <f>I36-D93</f>
        <v>1.3574207635420226E-2</v>
      </c>
      <c r="E97" s="1">
        <f>L36-E96</f>
        <v>7.5958174387250457E-2</v>
      </c>
      <c r="F97" s="1">
        <f>O36-F93</f>
        <v>2.1375775358417663E-2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BC62-7069-4F2F-AEB4-5D3584EF2EDD}">
  <sheetPr filterMode="1"/>
  <dimension ref="A1:M145"/>
  <sheetViews>
    <sheetView workbookViewId="0">
      <selection activeCell="J1" sqref="J1:J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68</v>
      </c>
    </row>
    <row r="2" spans="1:13" x14ac:dyDescent="0.3">
      <c r="A2" t="s">
        <v>12</v>
      </c>
      <c r="B2" t="s">
        <v>13</v>
      </c>
      <c r="C2" t="s">
        <v>14</v>
      </c>
      <c r="D2">
        <v>46496</v>
      </c>
      <c r="E2">
        <v>33.56</v>
      </c>
      <c r="F2">
        <v>-86.75</v>
      </c>
      <c r="G2">
        <v>2018</v>
      </c>
      <c r="H2" t="s">
        <v>15</v>
      </c>
      <c r="I2">
        <v>823.29276635119197</v>
      </c>
      <c r="J2">
        <v>9041.8682375594399</v>
      </c>
      <c r="K2">
        <v>-13137.895498588699</v>
      </c>
      <c r="L2">
        <v>1084.9327194538</v>
      </c>
      <c r="M2">
        <v>11472.694900807801</v>
      </c>
    </row>
    <row r="3" spans="1:13" hidden="1" x14ac:dyDescent="0.3">
      <c r="A3" t="s">
        <v>12</v>
      </c>
      <c r="B3" t="s">
        <v>13</v>
      </c>
      <c r="C3" t="s">
        <v>14</v>
      </c>
      <c r="D3">
        <v>46496</v>
      </c>
      <c r="E3">
        <v>33.56</v>
      </c>
      <c r="F3">
        <v>-86.75</v>
      </c>
      <c r="G3">
        <v>2018</v>
      </c>
      <c r="H3" t="s">
        <v>16</v>
      </c>
      <c r="I3">
        <v>822.24786601343703</v>
      </c>
      <c r="J3">
        <v>8621.1306134651695</v>
      </c>
      <c r="K3">
        <v>-13159.4479802525</v>
      </c>
      <c r="L3">
        <v>1085.9776197915601</v>
      </c>
      <c r="M3">
        <v>11472.694900807801</v>
      </c>
    </row>
    <row r="4" spans="1:13" x14ac:dyDescent="0.3">
      <c r="A4" t="s">
        <v>12</v>
      </c>
      <c r="B4" t="s">
        <v>13</v>
      </c>
      <c r="C4" t="s">
        <v>14</v>
      </c>
      <c r="D4">
        <v>46496</v>
      </c>
      <c r="E4">
        <v>33.56</v>
      </c>
      <c r="F4">
        <v>-86.75</v>
      </c>
      <c r="G4">
        <v>2019</v>
      </c>
      <c r="H4" t="s">
        <v>15</v>
      </c>
      <c r="I4">
        <v>830.354460004413</v>
      </c>
      <c r="J4">
        <v>9041.8682375594399</v>
      </c>
      <c r="K4">
        <v>-13061.853301629901</v>
      </c>
      <c r="L4">
        <v>1160.01279321795</v>
      </c>
      <c r="M4">
        <v>11894.363219122701</v>
      </c>
    </row>
    <row r="5" spans="1:13" hidden="1" x14ac:dyDescent="0.3">
      <c r="A5" t="s">
        <v>12</v>
      </c>
      <c r="B5" t="s">
        <v>13</v>
      </c>
      <c r="C5" t="s">
        <v>14</v>
      </c>
      <c r="D5">
        <v>46496</v>
      </c>
      <c r="E5">
        <v>33.56</v>
      </c>
      <c r="F5">
        <v>-86.75</v>
      </c>
      <c r="G5">
        <v>2019</v>
      </c>
      <c r="H5" t="s">
        <v>16</v>
      </c>
      <c r="I5">
        <v>844.01501833309499</v>
      </c>
      <c r="J5">
        <v>8716.7444239972301</v>
      </c>
      <c r="K5">
        <v>-12909.086246471599</v>
      </c>
      <c r="L5">
        <v>1146.35223488926</v>
      </c>
      <c r="M5">
        <v>11894.363219122701</v>
      </c>
    </row>
    <row r="6" spans="1:13" x14ac:dyDescent="0.3">
      <c r="A6" t="s">
        <v>12</v>
      </c>
      <c r="B6" t="s">
        <v>13</v>
      </c>
      <c r="C6" t="s">
        <v>14</v>
      </c>
      <c r="D6">
        <v>46496</v>
      </c>
      <c r="E6">
        <v>33.56</v>
      </c>
      <c r="F6">
        <v>-86.75</v>
      </c>
      <c r="G6">
        <v>2020</v>
      </c>
      <c r="H6" t="s">
        <v>15</v>
      </c>
      <c r="I6">
        <v>784.220132412216</v>
      </c>
      <c r="J6">
        <v>9041.8682375594399</v>
      </c>
      <c r="K6">
        <v>-13581.194521314501</v>
      </c>
      <c r="L6">
        <v>946.96550554504802</v>
      </c>
      <c r="M6">
        <v>10144.622380361099</v>
      </c>
    </row>
    <row r="7" spans="1:13" hidden="1" x14ac:dyDescent="0.3">
      <c r="A7" t="s">
        <v>12</v>
      </c>
      <c r="B7" t="s">
        <v>13</v>
      </c>
      <c r="C7" t="s">
        <v>14</v>
      </c>
      <c r="D7">
        <v>46496</v>
      </c>
      <c r="E7">
        <v>33.56</v>
      </c>
      <c r="F7">
        <v>-86.75</v>
      </c>
      <c r="G7">
        <v>2020</v>
      </c>
      <c r="H7" t="s">
        <v>16</v>
      </c>
      <c r="I7">
        <v>786.96200638225605</v>
      </c>
      <c r="J7">
        <v>8634.7380861866804</v>
      </c>
      <c r="K7">
        <v>-13558.200389878</v>
      </c>
      <c r="L7">
        <v>944.22363157500899</v>
      </c>
      <c r="M7">
        <v>10144.622380361099</v>
      </c>
    </row>
    <row r="8" spans="1:13" x14ac:dyDescent="0.3">
      <c r="A8" t="s">
        <v>12</v>
      </c>
      <c r="B8" t="s">
        <v>13</v>
      </c>
      <c r="C8" t="s">
        <v>14</v>
      </c>
      <c r="D8">
        <v>46496</v>
      </c>
      <c r="E8">
        <v>33.56</v>
      </c>
      <c r="F8">
        <v>-86.75</v>
      </c>
      <c r="G8">
        <v>2021</v>
      </c>
      <c r="H8" t="s">
        <v>15</v>
      </c>
      <c r="I8">
        <v>777.193068218147</v>
      </c>
      <c r="J8">
        <v>9041.8682375594399</v>
      </c>
      <c r="K8">
        <v>-13653.709675062701</v>
      </c>
      <c r="L8">
        <v>831.298473493595</v>
      </c>
      <c r="M8">
        <v>9454.1004397950601</v>
      </c>
    </row>
    <row r="9" spans="1:13" hidden="1" x14ac:dyDescent="0.3">
      <c r="A9" t="s">
        <v>12</v>
      </c>
      <c r="B9" t="s">
        <v>13</v>
      </c>
      <c r="C9" t="s">
        <v>14</v>
      </c>
      <c r="D9">
        <v>46496</v>
      </c>
      <c r="E9">
        <v>33.56</v>
      </c>
      <c r="F9">
        <v>-86.75</v>
      </c>
      <c r="G9">
        <v>2021</v>
      </c>
      <c r="H9" t="s">
        <v>16</v>
      </c>
      <c r="I9">
        <v>767.47674133462499</v>
      </c>
      <c r="J9">
        <v>8847.2703726983309</v>
      </c>
      <c r="K9">
        <v>-13767.588638598199</v>
      </c>
      <c r="L9">
        <v>841.01480037711895</v>
      </c>
      <c r="M9">
        <v>9454.1004397950601</v>
      </c>
    </row>
    <row r="10" spans="1:13" x14ac:dyDescent="0.3">
      <c r="A10" t="s">
        <v>12</v>
      </c>
      <c r="B10" t="s">
        <v>13</v>
      </c>
      <c r="C10" t="s">
        <v>14</v>
      </c>
      <c r="D10">
        <v>46496</v>
      </c>
      <c r="E10">
        <v>33.56</v>
      </c>
      <c r="F10">
        <v>-86.75</v>
      </c>
      <c r="G10">
        <v>2022</v>
      </c>
      <c r="H10" t="s">
        <v>15</v>
      </c>
      <c r="I10">
        <v>820.241816402636</v>
      </c>
      <c r="J10">
        <v>9041.8682375594399</v>
      </c>
      <c r="K10">
        <v>-13175.862641784899</v>
      </c>
      <c r="L10">
        <v>1064.6843667657499</v>
      </c>
      <c r="M10">
        <v>11166.9166924903</v>
      </c>
    </row>
    <row r="11" spans="1:13" hidden="1" x14ac:dyDescent="0.3">
      <c r="A11" t="s">
        <v>12</v>
      </c>
      <c r="B11" t="s">
        <v>13</v>
      </c>
      <c r="C11" t="s">
        <v>14</v>
      </c>
      <c r="D11">
        <v>46496</v>
      </c>
      <c r="E11">
        <v>33.56</v>
      </c>
      <c r="F11">
        <v>-86.75</v>
      </c>
      <c r="G11">
        <v>2022</v>
      </c>
      <c r="H11" t="s">
        <v>16</v>
      </c>
      <c r="I11">
        <v>870.89925033299005</v>
      </c>
      <c r="J11">
        <v>9524.5165356425896</v>
      </c>
      <c r="K11">
        <v>-12586.968814628101</v>
      </c>
      <c r="L11">
        <v>1014.0269328354</v>
      </c>
      <c r="M11">
        <v>11166.9166924903</v>
      </c>
    </row>
    <row r="12" spans="1:13" x14ac:dyDescent="0.3">
      <c r="A12" t="s">
        <v>12</v>
      </c>
      <c r="B12" t="s">
        <v>13</v>
      </c>
      <c r="C12" t="s">
        <v>14</v>
      </c>
      <c r="D12">
        <v>46496</v>
      </c>
      <c r="E12">
        <v>33.56</v>
      </c>
      <c r="F12">
        <v>-86.75</v>
      </c>
      <c r="G12">
        <v>2023</v>
      </c>
      <c r="H12" t="s">
        <v>15</v>
      </c>
      <c r="I12">
        <v>810.03416444866502</v>
      </c>
      <c r="J12">
        <v>9041.8682375594399</v>
      </c>
      <c r="K12">
        <v>-13289.116616978699</v>
      </c>
      <c r="L12">
        <v>1038.5093195156101</v>
      </c>
      <c r="M12">
        <v>10870.7592790081</v>
      </c>
    </row>
    <row r="13" spans="1:13" hidden="1" x14ac:dyDescent="0.3">
      <c r="A13" t="s">
        <v>12</v>
      </c>
      <c r="B13" t="s">
        <v>13</v>
      </c>
      <c r="C13" t="s">
        <v>14</v>
      </c>
      <c r="D13">
        <v>46496</v>
      </c>
      <c r="E13">
        <v>33.56</v>
      </c>
      <c r="F13">
        <v>-86.75</v>
      </c>
      <c r="G13">
        <v>2023</v>
      </c>
      <c r="H13" t="s">
        <v>16</v>
      </c>
      <c r="I13">
        <v>844.29870143381595</v>
      </c>
      <c r="J13">
        <v>9250.2634257784302</v>
      </c>
      <c r="K13">
        <v>-12894.3641117102</v>
      </c>
      <c r="L13">
        <v>1004.24478253046</v>
      </c>
      <c r="M13">
        <v>10870.7592790081</v>
      </c>
    </row>
    <row r="14" spans="1:13" x14ac:dyDescent="0.3">
      <c r="A14" t="s">
        <v>17</v>
      </c>
      <c r="B14" t="s">
        <v>18</v>
      </c>
      <c r="C14" t="s">
        <v>19</v>
      </c>
      <c r="D14">
        <v>112157</v>
      </c>
      <c r="E14">
        <v>35.14</v>
      </c>
      <c r="F14">
        <v>-111.67</v>
      </c>
      <c r="G14">
        <v>2018</v>
      </c>
      <c r="H14" t="s">
        <v>15</v>
      </c>
      <c r="I14">
        <v>924.93943197435703</v>
      </c>
      <c r="J14">
        <v>11330.222374223</v>
      </c>
      <c r="K14">
        <v>-12074.1154758747</v>
      </c>
      <c r="L14">
        <v>705.92525285551403</v>
      </c>
      <c r="M14">
        <v>12406.5966592397</v>
      </c>
    </row>
    <row r="15" spans="1:13" hidden="1" x14ac:dyDescent="0.3">
      <c r="A15" t="s">
        <v>17</v>
      </c>
      <c r="B15" t="s">
        <v>18</v>
      </c>
      <c r="C15" t="s">
        <v>19</v>
      </c>
      <c r="D15">
        <v>112157</v>
      </c>
      <c r="E15">
        <v>35.14</v>
      </c>
      <c r="F15">
        <v>-111.67</v>
      </c>
      <c r="G15">
        <v>2018</v>
      </c>
      <c r="H15" t="s">
        <v>16</v>
      </c>
      <c r="I15">
        <v>932.169976712123</v>
      </c>
      <c r="J15">
        <v>11312.075696729</v>
      </c>
      <c r="K15">
        <v>-11985.910139022601</v>
      </c>
      <c r="L15">
        <v>698.69470811774602</v>
      </c>
      <c r="M15">
        <v>12406.5966592397</v>
      </c>
    </row>
    <row r="16" spans="1:13" x14ac:dyDescent="0.3">
      <c r="A16" t="s">
        <v>17</v>
      </c>
      <c r="B16" t="s">
        <v>18</v>
      </c>
      <c r="C16" t="s">
        <v>19</v>
      </c>
      <c r="D16">
        <v>112157</v>
      </c>
      <c r="E16">
        <v>35.14</v>
      </c>
      <c r="F16">
        <v>-111.67</v>
      </c>
      <c r="G16">
        <v>2019</v>
      </c>
      <c r="H16" t="s">
        <v>15</v>
      </c>
      <c r="I16">
        <v>922.69192092193805</v>
      </c>
      <c r="J16">
        <v>11330.222374223</v>
      </c>
      <c r="K16">
        <v>-12102.613724966801</v>
      </c>
      <c r="L16">
        <v>663.69106093524499</v>
      </c>
      <c r="M16">
        <v>12209.2877876651</v>
      </c>
    </row>
    <row r="17" spans="1:13" hidden="1" x14ac:dyDescent="0.3">
      <c r="A17" t="s">
        <v>17</v>
      </c>
      <c r="B17" t="s">
        <v>18</v>
      </c>
      <c r="C17" t="s">
        <v>19</v>
      </c>
      <c r="D17">
        <v>112157</v>
      </c>
      <c r="E17">
        <v>35.14</v>
      </c>
      <c r="F17">
        <v>-111.67</v>
      </c>
      <c r="G17">
        <v>2019</v>
      </c>
      <c r="H17" t="s">
        <v>16</v>
      </c>
      <c r="I17">
        <v>929.03520077929204</v>
      </c>
      <c r="J17">
        <v>11336.7869021319</v>
      </c>
      <c r="K17">
        <v>-12034.013733596999</v>
      </c>
      <c r="L17">
        <v>657.34778107788998</v>
      </c>
      <c r="M17">
        <v>12209.2877876651</v>
      </c>
    </row>
    <row r="18" spans="1:13" x14ac:dyDescent="0.3">
      <c r="A18" t="s">
        <v>17</v>
      </c>
      <c r="B18" t="s">
        <v>18</v>
      </c>
      <c r="C18" t="s">
        <v>19</v>
      </c>
      <c r="D18">
        <v>112157</v>
      </c>
      <c r="E18">
        <v>35.14</v>
      </c>
      <c r="F18">
        <v>-111.67</v>
      </c>
      <c r="G18">
        <v>2020</v>
      </c>
      <c r="H18" t="s">
        <v>15</v>
      </c>
      <c r="I18">
        <v>901.69780008924897</v>
      </c>
      <c r="J18">
        <v>11330.222374223</v>
      </c>
      <c r="K18">
        <v>-12350.202060654699</v>
      </c>
      <c r="L18">
        <v>815.23749175983005</v>
      </c>
      <c r="M18">
        <v>13006.748567393999</v>
      </c>
    </row>
    <row r="19" spans="1:13" hidden="1" x14ac:dyDescent="0.3">
      <c r="A19" t="s">
        <v>17</v>
      </c>
      <c r="B19" t="s">
        <v>18</v>
      </c>
      <c r="C19" t="s">
        <v>19</v>
      </c>
      <c r="D19">
        <v>112157</v>
      </c>
      <c r="E19">
        <v>35.14</v>
      </c>
      <c r="F19">
        <v>-111.67</v>
      </c>
      <c r="G19">
        <v>2020</v>
      </c>
      <c r="H19" t="s">
        <v>16</v>
      </c>
      <c r="I19">
        <v>965.44134570483504</v>
      </c>
      <c r="J19">
        <v>11855.872040647901</v>
      </c>
      <c r="K19">
        <v>-11617.479510437401</v>
      </c>
      <c r="L19">
        <v>751.49394614424602</v>
      </c>
      <c r="M19">
        <v>13006.748567393999</v>
      </c>
    </row>
    <row r="20" spans="1:13" x14ac:dyDescent="0.3">
      <c r="A20" t="s">
        <v>17</v>
      </c>
      <c r="B20" t="s">
        <v>18</v>
      </c>
      <c r="C20" t="s">
        <v>19</v>
      </c>
      <c r="D20">
        <v>112157</v>
      </c>
      <c r="E20">
        <v>35.14</v>
      </c>
      <c r="F20">
        <v>-111.67</v>
      </c>
      <c r="G20">
        <v>2021</v>
      </c>
      <c r="H20" t="s">
        <v>15</v>
      </c>
      <c r="I20">
        <v>907.62167450318395</v>
      </c>
      <c r="J20">
        <v>11330.222374223</v>
      </c>
      <c r="K20">
        <v>-12279.810898801201</v>
      </c>
      <c r="L20">
        <v>735.97487652416203</v>
      </c>
      <c r="M20">
        <v>12416.0115621404</v>
      </c>
    </row>
    <row r="21" spans="1:13" hidden="1" x14ac:dyDescent="0.3">
      <c r="A21" t="s">
        <v>17</v>
      </c>
      <c r="B21" t="s">
        <v>18</v>
      </c>
      <c r="C21" t="s">
        <v>19</v>
      </c>
      <c r="D21">
        <v>112157</v>
      </c>
      <c r="E21">
        <v>35.14</v>
      </c>
      <c r="F21">
        <v>-111.67</v>
      </c>
      <c r="G21">
        <v>2021</v>
      </c>
      <c r="H21" t="s">
        <v>16</v>
      </c>
      <c r="I21">
        <v>940.08774401789697</v>
      </c>
      <c r="J21">
        <v>11443.475055557799</v>
      </c>
      <c r="K21">
        <v>-11898.7634769051</v>
      </c>
      <c r="L21">
        <v>703.50880700944901</v>
      </c>
      <c r="M21">
        <v>12416.0115621404</v>
      </c>
    </row>
    <row r="22" spans="1:13" x14ac:dyDescent="0.3">
      <c r="A22" t="s">
        <v>17</v>
      </c>
      <c r="B22" t="s">
        <v>18</v>
      </c>
      <c r="C22" t="s">
        <v>19</v>
      </c>
      <c r="D22">
        <v>112157</v>
      </c>
      <c r="E22">
        <v>35.14</v>
      </c>
      <c r="F22">
        <v>-111.67</v>
      </c>
      <c r="G22">
        <v>2022</v>
      </c>
      <c r="H22" t="s">
        <v>15</v>
      </c>
      <c r="I22">
        <v>910.24800584934098</v>
      </c>
      <c r="J22">
        <v>11330.222374223</v>
      </c>
      <c r="K22">
        <v>-12251.561743292301</v>
      </c>
      <c r="L22">
        <v>736.49975296113405</v>
      </c>
      <c r="M22">
        <v>12433.613848770399</v>
      </c>
    </row>
    <row r="23" spans="1:13" hidden="1" x14ac:dyDescent="0.3">
      <c r="A23" t="s">
        <v>17</v>
      </c>
      <c r="B23" t="s">
        <v>18</v>
      </c>
      <c r="C23" t="s">
        <v>19</v>
      </c>
      <c r="D23">
        <v>112157</v>
      </c>
      <c r="E23">
        <v>35.14</v>
      </c>
      <c r="F23">
        <v>-111.67</v>
      </c>
      <c r="G23">
        <v>2022</v>
      </c>
      <c r="H23" t="s">
        <v>16</v>
      </c>
      <c r="I23">
        <v>933.56028020839506</v>
      </c>
      <c r="J23">
        <v>11395.4220198483</v>
      </c>
      <c r="K23">
        <v>-11973.357855780399</v>
      </c>
      <c r="L23">
        <v>713.18747860208498</v>
      </c>
      <c r="M23">
        <v>12433.613848770399</v>
      </c>
    </row>
    <row r="24" spans="1:13" x14ac:dyDescent="0.3">
      <c r="A24" t="s">
        <v>17</v>
      </c>
      <c r="B24" t="s">
        <v>18</v>
      </c>
      <c r="C24" t="s">
        <v>19</v>
      </c>
      <c r="D24">
        <v>112157</v>
      </c>
      <c r="E24">
        <v>35.14</v>
      </c>
      <c r="F24">
        <v>-111.67</v>
      </c>
      <c r="G24">
        <v>2023</v>
      </c>
      <c r="H24" t="s">
        <v>15</v>
      </c>
      <c r="I24">
        <v>918.90437846834095</v>
      </c>
      <c r="J24">
        <v>11330.222374223</v>
      </c>
      <c r="K24">
        <v>-12141.256020957</v>
      </c>
      <c r="L24">
        <v>705.22375111061797</v>
      </c>
      <c r="M24">
        <v>12404.025602788501</v>
      </c>
    </row>
    <row r="25" spans="1:13" hidden="1" x14ac:dyDescent="0.3">
      <c r="A25" t="s">
        <v>17</v>
      </c>
      <c r="B25" t="s">
        <v>18</v>
      </c>
      <c r="C25" t="s">
        <v>19</v>
      </c>
      <c r="D25">
        <v>112157</v>
      </c>
      <c r="E25">
        <v>35.14</v>
      </c>
      <c r="F25">
        <v>-111.67</v>
      </c>
      <c r="G25">
        <v>2023</v>
      </c>
      <c r="H25" t="s">
        <v>16</v>
      </c>
      <c r="I25">
        <v>940.06289819671201</v>
      </c>
      <c r="J25">
        <v>11559.837818711099</v>
      </c>
      <c r="K25">
        <v>-11907.098810044199</v>
      </c>
      <c r="L25">
        <v>684.06523138224702</v>
      </c>
      <c r="M25">
        <v>12404.025602788501</v>
      </c>
    </row>
    <row r="26" spans="1:13" x14ac:dyDescent="0.3">
      <c r="A26" t="s">
        <v>20</v>
      </c>
      <c r="B26" t="s">
        <v>21</v>
      </c>
      <c r="C26" t="s">
        <v>22</v>
      </c>
      <c r="D26">
        <v>111549</v>
      </c>
      <c r="E26">
        <v>32.869999999999997</v>
      </c>
      <c r="F26">
        <v>-117.15</v>
      </c>
      <c r="G26">
        <v>2018</v>
      </c>
      <c r="H26" t="s">
        <v>15</v>
      </c>
      <c r="I26">
        <v>2784.0254644351198</v>
      </c>
      <c r="J26">
        <v>11233.731410124399</v>
      </c>
      <c r="K26">
        <v>10149.974493142799</v>
      </c>
      <c r="L26">
        <v>2035.21290182496</v>
      </c>
      <c r="M26">
        <v>11009.282336107901</v>
      </c>
    </row>
    <row r="27" spans="1:13" hidden="1" x14ac:dyDescent="0.3">
      <c r="A27" t="s">
        <v>20</v>
      </c>
      <c r="B27" t="s">
        <v>21</v>
      </c>
      <c r="C27" t="s">
        <v>22</v>
      </c>
      <c r="D27">
        <v>111549</v>
      </c>
      <c r="E27">
        <v>32.869999999999997</v>
      </c>
      <c r="F27">
        <v>-117.15</v>
      </c>
      <c r="G27">
        <v>2018</v>
      </c>
      <c r="H27" t="s">
        <v>16</v>
      </c>
      <c r="I27">
        <v>2839.1139293071401</v>
      </c>
      <c r="J27">
        <v>11279.391663394499</v>
      </c>
      <c r="K27">
        <v>10817.4016084905</v>
      </c>
      <c r="L27">
        <v>1980.12443695294</v>
      </c>
      <c r="M27">
        <v>11009.282336107901</v>
      </c>
    </row>
    <row r="28" spans="1:13" x14ac:dyDescent="0.3">
      <c r="A28" t="s">
        <v>20</v>
      </c>
      <c r="B28" t="s">
        <v>21</v>
      </c>
      <c r="C28" t="s">
        <v>22</v>
      </c>
      <c r="D28">
        <v>111549</v>
      </c>
      <c r="E28">
        <v>32.869999999999997</v>
      </c>
      <c r="F28">
        <v>-117.15</v>
      </c>
      <c r="G28">
        <v>2019</v>
      </c>
      <c r="H28" t="s">
        <v>15</v>
      </c>
      <c r="I28">
        <v>2685.5702567297499</v>
      </c>
      <c r="J28">
        <v>11233.731410124399</v>
      </c>
      <c r="K28">
        <v>9005.2153339646993</v>
      </c>
      <c r="L28">
        <v>1874.94318880537</v>
      </c>
      <c r="M28">
        <v>10456.999785600299</v>
      </c>
    </row>
    <row r="29" spans="1:13" hidden="1" x14ac:dyDescent="0.3">
      <c r="A29" t="s">
        <v>20</v>
      </c>
      <c r="B29" t="s">
        <v>21</v>
      </c>
      <c r="C29" t="s">
        <v>22</v>
      </c>
      <c r="D29">
        <v>111549</v>
      </c>
      <c r="E29">
        <v>32.869999999999997</v>
      </c>
      <c r="F29">
        <v>-117.15</v>
      </c>
      <c r="G29">
        <v>2019</v>
      </c>
      <c r="H29" t="s">
        <v>16</v>
      </c>
      <c r="I29">
        <v>2743.1948586797298</v>
      </c>
      <c r="J29">
        <v>11166.9532066142</v>
      </c>
      <c r="K29">
        <v>9717.0191252044606</v>
      </c>
      <c r="L29">
        <v>1817.3185868553901</v>
      </c>
      <c r="M29">
        <v>10456.999785600299</v>
      </c>
    </row>
    <row r="30" spans="1:13" x14ac:dyDescent="0.3">
      <c r="A30" t="s">
        <v>20</v>
      </c>
      <c r="B30" t="s">
        <v>21</v>
      </c>
      <c r="C30" t="s">
        <v>22</v>
      </c>
      <c r="D30">
        <v>111549</v>
      </c>
      <c r="E30">
        <v>32.869999999999997</v>
      </c>
      <c r="F30">
        <v>-117.15</v>
      </c>
      <c r="G30">
        <v>2020</v>
      </c>
      <c r="H30" t="s">
        <v>15</v>
      </c>
      <c r="I30">
        <v>2872.3512931251298</v>
      </c>
      <c r="J30">
        <v>11233.731410124399</v>
      </c>
      <c r="K30">
        <v>11175.93663615</v>
      </c>
      <c r="L30">
        <v>2173.0789885315698</v>
      </c>
      <c r="M30">
        <v>11535.792144842901</v>
      </c>
    </row>
    <row r="31" spans="1:13" hidden="1" x14ac:dyDescent="0.3">
      <c r="A31" t="s">
        <v>20</v>
      </c>
      <c r="B31" t="s">
        <v>21</v>
      </c>
      <c r="C31" t="s">
        <v>22</v>
      </c>
      <c r="D31">
        <v>111549</v>
      </c>
      <c r="E31">
        <v>32.869999999999997</v>
      </c>
      <c r="F31">
        <v>-117.15</v>
      </c>
      <c r="G31">
        <v>2020</v>
      </c>
      <c r="H31" t="s">
        <v>16</v>
      </c>
      <c r="I31">
        <v>2983.9092792648298</v>
      </c>
      <c r="J31">
        <v>11558.1056132175</v>
      </c>
      <c r="K31">
        <v>12528.8256472905</v>
      </c>
      <c r="L31">
        <v>2061.5210023918698</v>
      </c>
      <c r="M31">
        <v>11535.792144842901</v>
      </c>
    </row>
    <row r="32" spans="1:13" x14ac:dyDescent="0.3">
      <c r="A32" t="s">
        <v>20</v>
      </c>
      <c r="B32" t="s">
        <v>21</v>
      </c>
      <c r="C32" t="s">
        <v>22</v>
      </c>
      <c r="D32">
        <v>111549</v>
      </c>
      <c r="E32">
        <v>32.869999999999997</v>
      </c>
      <c r="F32">
        <v>-117.15</v>
      </c>
      <c r="G32">
        <v>2021</v>
      </c>
      <c r="H32" t="s">
        <v>15</v>
      </c>
      <c r="I32">
        <v>2751.50901707921</v>
      </c>
      <c r="J32">
        <v>11233.731410124399</v>
      </c>
      <c r="K32">
        <v>9773.6880641386597</v>
      </c>
      <c r="L32">
        <v>1943.2510886058601</v>
      </c>
      <c r="M32">
        <v>10765.4828787799</v>
      </c>
    </row>
    <row r="33" spans="1:13" hidden="1" x14ac:dyDescent="0.3">
      <c r="A33" t="s">
        <v>20</v>
      </c>
      <c r="B33" t="s">
        <v>21</v>
      </c>
      <c r="C33" t="s">
        <v>22</v>
      </c>
      <c r="D33">
        <v>111549</v>
      </c>
      <c r="E33">
        <v>32.869999999999997</v>
      </c>
      <c r="F33">
        <v>-117.15</v>
      </c>
      <c r="G33">
        <v>2021</v>
      </c>
      <c r="H33" t="s">
        <v>16</v>
      </c>
      <c r="I33">
        <v>2807.63112715545</v>
      </c>
      <c r="J33">
        <v>11237.1429902912</v>
      </c>
      <c r="K33">
        <v>10450.530927801399</v>
      </c>
      <c r="L33">
        <v>1887.1289785296201</v>
      </c>
      <c r="M33">
        <v>10765.4828787799</v>
      </c>
    </row>
    <row r="34" spans="1:13" x14ac:dyDescent="0.3">
      <c r="A34" t="s">
        <v>20</v>
      </c>
      <c r="B34" t="s">
        <v>21</v>
      </c>
      <c r="C34" t="s">
        <v>22</v>
      </c>
      <c r="D34">
        <v>111549</v>
      </c>
      <c r="E34">
        <v>32.869999999999997</v>
      </c>
      <c r="F34">
        <v>-117.15</v>
      </c>
      <c r="G34">
        <v>2022</v>
      </c>
      <c r="H34" t="s">
        <v>15</v>
      </c>
      <c r="I34">
        <v>2906.8232366284901</v>
      </c>
      <c r="J34">
        <v>11233.731410124399</v>
      </c>
      <c r="K34">
        <v>11582.631432034101</v>
      </c>
      <c r="L34">
        <v>2205.05412135093</v>
      </c>
      <c r="M34">
        <v>11706.9269840704</v>
      </c>
    </row>
    <row r="35" spans="1:13" hidden="1" x14ac:dyDescent="0.3">
      <c r="A35" t="s">
        <v>20</v>
      </c>
      <c r="B35" t="s">
        <v>21</v>
      </c>
      <c r="C35" t="s">
        <v>22</v>
      </c>
      <c r="D35">
        <v>111549</v>
      </c>
      <c r="E35">
        <v>32.869999999999997</v>
      </c>
      <c r="F35">
        <v>-117.15</v>
      </c>
      <c r="G35">
        <v>2022</v>
      </c>
      <c r="H35" t="s">
        <v>16</v>
      </c>
      <c r="I35">
        <v>2980.7391993462502</v>
      </c>
      <c r="J35">
        <v>11681.257773011001</v>
      </c>
      <c r="K35">
        <v>12494.7927186095</v>
      </c>
      <c r="L35">
        <v>2131.13815863318</v>
      </c>
      <c r="M35">
        <v>11706.9269840704</v>
      </c>
    </row>
    <row r="36" spans="1:13" x14ac:dyDescent="0.3">
      <c r="A36" t="s">
        <v>20</v>
      </c>
      <c r="B36" t="s">
        <v>21</v>
      </c>
      <c r="C36" t="s">
        <v>22</v>
      </c>
      <c r="D36">
        <v>111549</v>
      </c>
      <c r="E36">
        <v>32.869999999999997</v>
      </c>
      <c r="F36">
        <v>-117.15</v>
      </c>
      <c r="G36">
        <v>2023</v>
      </c>
      <c r="H36" t="s">
        <v>15</v>
      </c>
      <c r="I36">
        <v>2573.9640002183801</v>
      </c>
      <c r="J36">
        <v>11233.731410124399</v>
      </c>
      <c r="K36">
        <v>7679.6279069572502</v>
      </c>
      <c r="L36">
        <v>1775.5704409018899</v>
      </c>
      <c r="M36">
        <v>9977.3091824736093</v>
      </c>
    </row>
    <row r="37" spans="1:13" hidden="1" x14ac:dyDescent="0.3">
      <c r="A37" t="s">
        <v>20</v>
      </c>
      <c r="B37" t="s">
        <v>21</v>
      </c>
      <c r="C37" t="s">
        <v>22</v>
      </c>
      <c r="D37">
        <v>111549</v>
      </c>
      <c r="E37">
        <v>32.869999999999997</v>
      </c>
      <c r="F37">
        <v>-117.15</v>
      </c>
      <c r="G37">
        <v>2023</v>
      </c>
      <c r="H37" t="s">
        <v>16</v>
      </c>
      <c r="I37">
        <v>2576.9425357351702</v>
      </c>
      <c r="J37">
        <v>10568.644647167799</v>
      </c>
      <c r="K37">
        <v>7710.0036072604998</v>
      </c>
      <c r="L37">
        <v>1772.5919053850901</v>
      </c>
      <c r="M37">
        <v>9977.3091824736093</v>
      </c>
    </row>
    <row r="38" spans="1:13" x14ac:dyDescent="0.3">
      <c r="A38" t="s">
        <v>23</v>
      </c>
      <c r="B38" t="s">
        <v>24</v>
      </c>
      <c r="C38" t="s">
        <v>25</v>
      </c>
      <c r="D38">
        <v>126745</v>
      </c>
      <c r="E38">
        <v>39.81</v>
      </c>
      <c r="F38">
        <v>-105.14</v>
      </c>
      <c r="G38">
        <v>2018</v>
      </c>
      <c r="H38" t="s">
        <v>15</v>
      </c>
      <c r="I38">
        <v>1432.2930208712501</v>
      </c>
      <c r="J38">
        <v>9971.3266799887006</v>
      </c>
      <c r="K38">
        <v>-6259.0062514056799</v>
      </c>
      <c r="L38">
        <v>300.71462606479201</v>
      </c>
      <c r="M38">
        <v>11042.2264192159</v>
      </c>
    </row>
    <row r="39" spans="1:13" hidden="1" x14ac:dyDescent="0.3">
      <c r="A39" t="s">
        <v>23</v>
      </c>
      <c r="B39" t="s">
        <v>24</v>
      </c>
      <c r="C39" t="s">
        <v>25</v>
      </c>
      <c r="D39">
        <v>126745</v>
      </c>
      <c r="E39">
        <v>39.81</v>
      </c>
      <c r="F39">
        <v>-105.14</v>
      </c>
      <c r="G39">
        <v>2018</v>
      </c>
      <c r="H39" t="s">
        <v>16</v>
      </c>
      <c r="I39">
        <v>1463.17217822462</v>
      </c>
      <c r="J39">
        <v>10132.419670650201</v>
      </c>
      <c r="K39">
        <v>-5904.3361110128199</v>
      </c>
      <c r="L39">
        <v>269.83546871141903</v>
      </c>
      <c r="M39">
        <v>11042.2264192159</v>
      </c>
    </row>
    <row r="40" spans="1:13" x14ac:dyDescent="0.3">
      <c r="A40" t="s">
        <v>23</v>
      </c>
      <c r="B40" t="s">
        <v>24</v>
      </c>
      <c r="C40" t="s">
        <v>25</v>
      </c>
      <c r="D40">
        <v>126745</v>
      </c>
      <c r="E40">
        <v>39.81</v>
      </c>
      <c r="F40">
        <v>-105.14</v>
      </c>
      <c r="G40">
        <v>2019</v>
      </c>
      <c r="H40" t="s">
        <v>15</v>
      </c>
      <c r="I40">
        <v>1432.2930208712501</v>
      </c>
      <c r="J40">
        <v>9971.3266799887006</v>
      </c>
      <c r="K40">
        <v>-6259.0062514056699</v>
      </c>
      <c r="L40">
        <v>285.34277118671002</v>
      </c>
      <c r="M40">
        <v>10965.851763025799</v>
      </c>
    </row>
    <row r="41" spans="1:13" hidden="1" x14ac:dyDescent="0.3">
      <c r="A41" t="s">
        <v>23</v>
      </c>
      <c r="B41" t="s">
        <v>24</v>
      </c>
      <c r="C41" t="s">
        <v>25</v>
      </c>
      <c r="D41">
        <v>126745</v>
      </c>
      <c r="E41">
        <v>39.81</v>
      </c>
      <c r="F41">
        <v>-105.14</v>
      </c>
      <c r="G41">
        <v>2019</v>
      </c>
      <c r="H41" t="s">
        <v>16</v>
      </c>
      <c r="I41">
        <v>1447.30045403801</v>
      </c>
      <c r="J41">
        <v>10064.847963513401</v>
      </c>
      <c r="K41">
        <v>-6086.9313295212996</v>
      </c>
      <c r="L41">
        <v>270.335338019951</v>
      </c>
      <c r="M41">
        <v>10965.851763025799</v>
      </c>
    </row>
    <row r="42" spans="1:13" x14ac:dyDescent="0.3">
      <c r="A42" t="s">
        <v>23</v>
      </c>
      <c r="B42" t="s">
        <v>24</v>
      </c>
      <c r="C42" t="s">
        <v>25</v>
      </c>
      <c r="D42">
        <v>126745</v>
      </c>
      <c r="E42">
        <v>39.81</v>
      </c>
      <c r="F42">
        <v>-105.14</v>
      </c>
      <c r="G42">
        <v>2020</v>
      </c>
      <c r="H42" t="s">
        <v>15</v>
      </c>
      <c r="I42">
        <v>1432.2930208712501</v>
      </c>
      <c r="J42">
        <v>9971.3266799887006</v>
      </c>
      <c r="K42">
        <v>-6259.0062514056699</v>
      </c>
      <c r="L42">
        <v>307.16459758398099</v>
      </c>
      <c r="M42">
        <v>11104.6196673377</v>
      </c>
    </row>
    <row r="43" spans="1:13" hidden="1" x14ac:dyDescent="0.3">
      <c r="A43" t="s">
        <v>23</v>
      </c>
      <c r="B43" t="s">
        <v>24</v>
      </c>
      <c r="C43" t="s">
        <v>25</v>
      </c>
      <c r="D43">
        <v>126745</v>
      </c>
      <c r="E43">
        <v>39.81</v>
      </c>
      <c r="F43">
        <v>-105.14</v>
      </c>
      <c r="G43">
        <v>2020</v>
      </c>
      <c r="H43" t="s">
        <v>16</v>
      </c>
      <c r="I43">
        <v>1488.1414168075601</v>
      </c>
      <c r="J43">
        <v>10412.765156339799</v>
      </c>
      <c r="K43">
        <v>-5617.0435927511198</v>
      </c>
      <c r="L43">
        <v>251.31620164767401</v>
      </c>
      <c r="M43">
        <v>11104.6196673377</v>
      </c>
    </row>
    <row r="44" spans="1:13" x14ac:dyDescent="0.3">
      <c r="A44" t="s">
        <v>23</v>
      </c>
      <c r="B44" t="s">
        <v>24</v>
      </c>
      <c r="C44" t="s">
        <v>25</v>
      </c>
      <c r="D44">
        <v>126745</v>
      </c>
      <c r="E44">
        <v>39.81</v>
      </c>
      <c r="F44">
        <v>-105.14</v>
      </c>
      <c r="G44">
        <v>2021</v>
      </c>
      <c r="H44" t="s">
        <v>15</v>
      </c>
      <c r="I44">
        <v>1432.2930208712501</v>
      </c>
      <c r="J44">
        <v>9971.3266799887006</v>
      </c>
      <c r="K44">
        <v>-6259.0062514056699</v>
      </c>
      <c r="L44">
        <v>304.91366318942602</v>
      </c>
      <c r="M44">
        <v>11073.902979337499</v>
      </c>
    </row>
    <row r="45" spans="1:13" hidden="1" x14ac:dyDescent="0.3">
      <c r="A45" t="s">
        <v>23</v>
      </c>
      <c r="B45" t="s">
        <v>24</v>
      </c>
      <c r="C45" t="s">
        <v>25</v>
      </c>
      <c r="D45">
        <v>126745</v>
      </c>
      <c r="E45">
        <v>39.81</v>
      </c>
      <c r="F45">
        <v>-105.14</v>
      </c>
      <c r="G45">
        <v>2021</v>
      </c>
      <c r="H45" t="s">
        <v>16</v>
      </c>
      <c r="I45">
        <v>1495.1190646999501</v>
      </c>
      <c r="J45">
        <v>10363.643584973701</v>
      </c>
      <c r="K45">
        <v>-5536.9173066902704</v>
      </c>
      <c r="L45">
        <v>242.08761936072199</v>
      </c>
      <c r="M45">
        <v>11073.902979337499</v>
      </c>
    </row>
    <row r="46" spans="1:13" x14ac:dyDescent="0.3">
      <c r="A46" t="s">
        <v>23</v>
      </c>
      <c r="B46" t="s">
        <v>24</v>
      </c>
      <c r="C46" t="s">
        <v>25</v>
      </c>
      <c r="D46">
        <v>126745</v>
      </c>
      <c r="E46">
        <v>39.81</v>
      </c>
      <c r="F46">
        <v>-105.14</v>
      </c>
      <c r="G46">
        <v>2022</v>
      </c>
      <c r="H46" t="s">
        <v>15</v>
      </c>
      <c r="I46">
        <v>1432.2930208712501</v>
      </c>
      <c r="J46">
        <v>9971.3266799887006</v>
      </c>
      <c r="K46">
        <v>-6259.0062514056699</v>
      </c>
      <c r="L46">
        <v>309.28553579037401</v>
      </c>
      <c r="M46">
        <v>11135.292823481799</v>
      </c>
    </row>
    <row r="47" spans="1:13" hidden="1" x14ac:dyDescent="0.3">
      <c r="A47" t="s">
        <v>23</v>
      </c>
      <c r="B47" t="s">
        <v>24</v>
      </c>
      <c r="C47" t="s">
        <v>25</v>
      </c>
      <c r="D47">
        <v>126745</v>
      </c>
      <c r="E47">
        <v>39.81</v>
      </c>
      <c r="F47">
        <v>-105.14</v>
      </c>
      <c r="G47">
        <v>2022</v>
      </c>
      <c r="H47" t="s">
        <v>16</v>
      </c>
      <c r="I47">
        <v>1495.0793737168799</v>
      </c>
      <c r="J47">
        <v>10419.8927859792</v>
      </c>
      <c r="K47">
        <v>-5536.8982540766701</v>
      </c>
      <c r="L47">
        <v>246.49918294473801</v>
      </c>
      <c r="M47">
        <v>11135.292823481799</v>
      </c>
    </row>
    <row r="48" spans="1:13" x14ac:dyDescent="0.3">
      <c r="A48" t="s">
        <v>23</v>
      </c>
      <c r="B48" t="s">
        <v>24</v>
      </c>
      <c r="C48" t="s">
        <v>25</v>
      </c>
      <c r="D48">
        <v>126745</v>
      </c>
      <c r="E48">
        <v>39.81</v>
      </c>
      <c r="F48">
        <v>-105.14</v>
      </c>
      <c r="G48">
        <v>2023</v>
      </c>
      <c r="H48" t="s">
        <v>15</v>
      </c>
      <c r="I48">
        <v>1432.2930208712501</v>
      </c>
      <c r="J48">
        <v>9971.3266799887006</v>
      </c>
      <c r="K48">
        <v>-6259.0062514056699</v>
      </c>
      <c r="L48">
        <v>264.88827535477702</v>
      </c>
      <c r="M48">
        <v>10819.6862885464</v>
      </c>
    </row>
    <row r="49" spans="1:13" hidden="1" x14ac:dyDescent="0.3">
      <c r="A49" t="s">
        <v>23</v>
      </c>
      <c r="B49" t="s">
        <v>24</v>
      </c>
      <c r="C49" t="s">
        <v>25</v>
      </c>
      <c r="D49">
        <v>126745</v>
      </c>
      <c r="E49">
        <v>39.81</v>
      </c>
      <c r="F49">
        <v>-105.14</v>
      </c>
      <c r="G49">
        <v>2023</v>
      </c>
      <c r="H49" t="s">
        <v>16</v>
      </c>
      <c r="I49">
        <v>1470.33339705136</v>
      </c>
      <c r="J49">
        <v>10218.625688251899</v>
      </c>
      <c r="K49">
        <v>-5821.6638837212004</v>
      </c>
      <c r="L49">
        <v>226.84789917466901</v>
      </c>
      <c r="M49">
        <v>10819.6862885464</v>
      </c>
    </row>
    <row r="50" spans="1:13" x14ac:dyDescent="0.3">
      <c r="A50" t="s">
        <v>26</v>
      </c>
      <c r="B50" t="s">
        <v>27</v>
      </c>
      <c r="C50" t="s">
        <v>28</v>
      </c>
      <c r="D50">
        <v>305</v>
      </c>
      <c r="E50">
        <v>41.88</v>
      </c>
      <c r="F50">
        <v>-71.02</v>
      </c>
      <c r="G50">
        <v>2018</v>
      </c>
      <c r="H50" t="s">
        <v>15</v>
      </c>
      <c r="I50">
        <v>3712.4558953790402</v>
      </c>
      <c r="J50">
        <v>8661.4478181212307</v>
      </c>
      <c r="K50">
        <v>20087.470767744599</v>
      </c>
      <c r="L50">
        <v>1093.2121378751999</v>
      </c>
      <c r="M50">
        <v>10808.922798740999</v>
      </c>
    </row>
    <row r="51" spans="1:13" hidden="1" x14ac:dyDescent="0.3">
      <c r="A51" t="s">
        <v>26</v>
      </c>
      <c r="B51" t="s">
        <v>27</v>
      </c>
      <c r="C51" t="s">
        <v>28</v>
      </c>
      <c r="D51">
        <v>305</v>
      </c>
      <c r="E51">
        <v>41.88</v>
      </c>
      <c r="F51">
        <v>-71.02</v>
      </c>
      <c r="G51">
        <v>2018</v>
      </c>
      <c r="H51" t="s">
        <v>16</v>
      </c>
      <c r="I51">
        <v>3457.2178214843202</v>
      </c>
      <c r="J51">
        <v>8004.4599915119697</v>
      </c>
      <c r="K51">
        <v>17038.195379507899</v>
      </c>
      <c r="L51">
        <v>1348.4502117699301</v>
      </c>
      <c r="M51">
        <v>10808.922798740999</v>
      </c>
    </row>
    <row r="52" spans="1:13" x14ac:dyDescent="0.3">
      <c r="A52" t="s">
        <v>26</v>
      </c>
      <c r="B52" t="s">
        <v>27</v>
      </c>
      <c r="C52" t="s">
        <v>28</v>
      </c>
      <c r="D52">
        <v>305</v>
      </c>
      <c r="E52">
        <v>41.88</v>
      </c>
      <c r="F52">
        <v>-71.02</v>
      </c>
      <c r="G52">
        <v>2019</v>
      </c>
      <c r="H52" t="s">
        <v>15</v>
      </c>
      <c r="I52">
        <v>3701.3660112551802</v>
      </c>
      <c r="J52">
        <v>8661.4478181212307</v>
      </c>
      <c r="K52">
        <v>19955.554198539801</v>
      </c>
      <c r="L52">
        <v>1002.78636279738</v>
      </c>
      <c r="M52">
        <v>10574.7459609055</v>
      </c>
    </row>
    <row r="53" spans="1:13" hidden="1" x14ac:dyDescent="0.3">
      <c r="A53" t="s">
        <v>26</v>
      </c>
      <c r="B53" t="s">
        <v>27</v>
      </c>
      <c r="C53" t="s">
        <v>28</v>
      </c>
      <c r="D53">
        <v>305</v>
      </c>
      <c r="E53">
        <v>41.88</v>
      </c>
      <c r="F53">
        <v>-71.02</v>
      </c>
      <c r="G53">
        <v>2019</v>
      </c>
      <c r="H53" t="s">
        <v>16</v>
      </c>
      <c r="I53">
        <v>3595.0514405896101</v>
      </c>
      <c r="J53">
        <v>8341.0215201944902</v>
      </c>
      <c r="K53">
        <v>18681.1016552687</v>
      </c>
      <c r="L53">
        <v>1109.10093346295</v>
      </c>
      <c r="M53">
        <v>10574.7459609055</v>
      </c>
    </row>
    <row r="54" spans="1:13" x14ac:dyDescent="0.3">
      <c r="A54" t="s">
        <v>26</v>
      </c>
      <c r="B54" t="s">
        <v>27</v>
      </c>
      <c r="C54" t="s">
        <v>28</v>
      </c>
      <c r="D54">
        <v>305</v>
      </c>
      <c r="E54">
        <v>41.88</v>
      </c>
      <c r="F54">
        <v>-71.02</v>
      </c>
      <c r="G54">
        <v>2020</v>
      </c>
      <c r="H54" t="s">
        <v>15</v>
      </c>
      <c r="I54">
        <v>3721.3652963785598</v>
      </c>
      <c r="J54">
        <v>8661.4478181212307</v>
      </c>
      <c r="K54">
        <v>20125.4458454798</v>
      </c>
      <c r="L54">
        <v>1120.7486844017201</v>
      </c>
      <c r="M54">
        <v>10892.9964954562</v>
      </c>
    </row>
    <row r="55" spans="1:13" hidden="1" x14ac:dyDescent="0.3">
      <c r="A55" t="s">
        <v>26</v>
      </c>
      <c r="B55" t="s">
        <v>27</v>
      </c>
      <c r="C55" t="s">
        <v>28</v>
      </c>
      <c r="D55">
        <v>305</v>
      </c>
      <c r="E55">
        <v>41.88</v>
      </c>
      <c r="F55">
        <v>-71.02</v>
      </c>
      <c r="G55">
        <v>2020</v>
      </c>
      <c r="H55" t="s">
        <v>16</v>
      </c>
      <c r="I55">
        <v>3558.3595187123201</v>
      </c>
      <c r="J55">
        <v>8298.3523700333099</v>
      </c>
      <c r="K55">
        <v>18199.427070309499</v>
      </c>
      <c r="L55">
        <v>1283.75446206795</v>
      </c>
      <c r="M55">
        <v>10892.9964954562</v>
      </c>
    </row>
    <row r="56" spans="1:13" x14ac:dyDescent="0.3">
      <c r="A56" t="s">
        <v>26</v>
      </c>
      <c r="B56" t="s">
        <v>27</v>
      </c>
      <c r="C56" t="s">
        <v>28</v>
      </c>
      <c r="D56">
        <v>305</v>
      </c>
      <c r="E56">
        <v>41.88</v>
      </c>
      <c r="F56">
        <v>-71.02</v>
      </c>
      <c r="G56">
        <v>2021</v>
      </c>
      <c r="H56" t="s">
        <v>15</v>
      </c>
      <c r="I56">
        <v>3723.5105038557999</v>
      </c>
      <c r="J56">
        <v>8661.4478181212307</v>
      </c>
      <c r="K56">
        <v>20151.238321869099</v>
      </c>
      <c r="L56">
        <v>1026.6520371546301</v>
      </c>
      <c r="M56">
        <v>10680.8824475442</v>
      </c>
    </row>
    <row r="57" spans="1:13" hidden="1" x14ac:dyDescent="0.3">
      <c r="A57" t="s">
        <v>26</v>
      </c>
      <c r="B57" t="s">
        <v>27</v>
      </c>
      <c r="C57" t="s">
        <v>28</v>
      </c>
      <c r="D57">
        <v>305</v>
      </c>
      <c r="E57">
        <v>41.88</v>
      </c>
      <c r="F57">
        <v>-71.02</v>
      </c>
      <c r="G57">
        <v>2021</v>
      </c>
      <c r="H57" t="s">
        <v>16</v>
      </c>
      <c r="I57">
        <v>3640.6083248489499</v>
      </c>
      <c r="J57">
        <v>8528.9182685974192</v>
      </c>
      <c r="K57">
        <v>19257.262583170799</v>
      </c>
      <c r="L57">
        <v>1109.5542161614701</v>
      </c>
      <c r="M57">
        <v>10680.8824475442</v>
      </c>
    </row>
    <row r="58" spans="1:13" x14ac:dyDescent="0.3">
      <c r="A58" t="s">
        <v>26</v>
      </c>
      <c r="B58" t="s">
        <v>27</v>
      </c>
      <c r="C58" t="s">
        <v>28</v>
      </c>
      <c r="D58">
        <v>305</v>
      </c>
      <c r="E58">
        <v>41.88</v>
      </c>
      <c r="F58">
        <v>-71.02</v>
      </c>
      <c r="G58">
        <v>2022</v>
      </c>
      <c r="H58" t="s">
        <v>15</v>
      </c>
      <c r="I58">
        <v>3724.4702657642201</v>
      </c>
      <c r="J58">
        <v>8661.4478181212307</v>
      </c>
      <c r="K58">
        <v>20174.6714106072</v>
      </c>
      <c r="L58">
        <v>1154.02442799448</v>
      </c>
      <c r="M58">
        <v>10976.919708785899</v>
      </c>
    </row>
    <row r="59" spans="1:13" hidden="1" x14ac:dyDescent="0.3">
      <c r="A59" t="s">
        <v>26</v>
      </c>
      <c r="B59" t="s">
        <v>27</v>
      </c>
      <c r="C59" t="s">
        <v>28</v>
      </c>
      <c r="D59">
        <v>305</v>
      </c>
      <c r="E59">
        <v>41.88</v>
      </c>
      <c r="F59">
        <v>-71.02</v>
      </c>
      <c r="G59">
        <v>2022</v>
      </c>
      <c r="H59" t="s">
        <v>16</v>
      </c>
      <c r="I59">
        <v>3807.39012668034</v>
      </c>
      <c r="J59">
        <v>8899.9742830232099</v>
      </c>
      <c r="K59">
        <v>21128.507107911799</v>
      </c>
      <c r="L59">
        <v>1071.1045670783501</v>
      </c>
      <c r="M59">
        <v>10976.919708785899</v>
      </c>
    </row>
    <row r="60" spans="1:13" x14ac:dyDescent="0.3">
      <c r="A60" t="s">
        <v>26</v>
      </c>
      <c r="B60" t="s">
        <v>27</v>
      </c>
      <c r="C60" t="s">
        <v>28</v>
      </c>
      <c r="D60">
        <v>305</v>
      </c>
      <c r="E60">
        <v>41.88</v>
      </c>
      <c r="F60">
        <v>-71.02</v>
      </c>
      <c r="G60">
        <v>2023</v>
      </c>
      <c r="H60" t="s">
        <v>15</v>
      </c>
      <c r="I60">
        <v>3711.5638549608898</v>
      </c>
      <c r="J60">
        <v>8661.4478181212307</v>
      </c>
      <c r="K60">
        <v>20075.3870199259</v>
      </c>
      <c r="L60">
        <v>968.742787270196</v>
      </c>
      <c r="M60">
        <v>10519.7385057233</v>
      </c>
    </row>
    <row r="61" spans="1:13" hidden="1" x14ac:dyDescent="0.3">
      <c r="A61" t="s">
        <v>26</v>
      </c>
      <c r="B61" t="s">
        <v>27</v>
      </c>
      <c r="C61" t="s">
        <v>28</v>
      </c>
      <c r="D61">
        <v>305</v>
      </c>
      <c r="E61">
        <v>41.88</v>
      </c>
      <c r="F61">
        <v>-71.02</v>
      </c>
      <c r="G61">
        <v>2023</v>
      </c>
      <c r="H61" t="s">
        <v>16</v>
      </c>
      <c r="I61">
        <v>3503.3970862855599</v>
      </c>
      <c r="J61">
        <v>8217.0215564048303</v>
      </c>
      <c r="K61">
        <v>17621.444286854199</v>
      </c>
      <c r="L61">
        <v>1176.90955594552</v>
      </c>
      <c r="M61">
        <v>10519.7385057233</v>
      </c>
    </row>
    <row r="62" spans="1:13" x14ac:dyDescent="0.3">
      <c r="A62" t="s">
        <v>29</v>
      </c>
      <c r="B62" t="s">
        <v>30</v>
      </c>
      <c r="C62" t="s">
        <v>25</v>
      </c>
      <c r="D62">
        <v>442412</v>
      </c>
      <c r="E62">
        <v>44.85</v>
      </c>
      <c r="F62">
        <v>-93.03</v>
      </c>
      <c r="G62">
        <v>2018</v>
      </c>
      <c r="H62" t="s">
        <v>15</v>
      </c>
      <c r="I62">
        <v>1787.8769031122599</v>
      </c>
      <c r="J62">
        <v>8445.3204160173009</v>
      </c>
      <c r="K62">
        <v>-2177.5429021997002</v>
      </c>
      <c r="L62">
        <v>193.143453516779</v>
      </c>
      <c r="M62">
        <v>11000.7949151217</v>
      </c>
    </row>
    <row r="63" spans="1:13" hidden="1" x14ac:dyDescent="0.3">
      <c r="A63" t="s">
        <v>29</v>
      </c>
      <c r="B63" t="s">
        <v>30</v>
      </c>
      <c r="C63" t="s">
        <v>25</v>
      </c>
      <c r="D63">
        <v>442412</v>
      </c>
      <c r="E63">
        <v>44.85</v>
      </c>
      <c r="F63">
        <v>-93.03</v>
      </c>
      <c r="G63">
        <v>2018</v>
      </c>
      <c r="H63" t="s">
        <v>16</v>
      </c>
      <c r="I63">
        <v>1687.3010949049001</v>
      </c>
      <c r="J63">
        <v>8107.6463430990098</v>
      </c>
      <c r="K63">
        <v>-3330.63063893143</v>
      </c>
      <c r="L63">
        <v>293.719261724131</v>
      </c>
      <c r="M63">
        <v>11000.7949151217</v>
      </c>
    </row>
    <row r="64" spans="1:13" x14ac:dyDescent="0.3">
      <c r="A64" t="s">
        <v>29</v>
      </c>
      <c r="B64" t="s">
        <v>30</v>
      </c>
      <c r="C64" t="s">
        <v>25</v>
      </c>
      <c r="D64">
        <v>442412</v>
      </c>
      <c r="E64">
        <v>44.85</v>
      </c>
      <c r="F64">
        <v>-93.03</v>
      </c>
      <c r="G64">
        <v>2019</v>
      </c>
      <c r="H64" t="s">
        <v>15</v>
      </c>
      <c r="I64">
        <v>1787.8769029607699</v>
      </c>
      <c r="J64">
        <v>8445.3204160173009</v>
      </c>
      <c r="K64">
        <v>-2177.5429040192398</v>
      </c>
      <c r="L64">
        <v>138.334397907073</v>
      </c>
      <c r="M64">
        <v>10630.3445242856</v>
      </c>
    </row>
    <row r="65" spans="1:13" hidden="1" x14ac:dyDescent="0.3">
      <c r="A65" t="s">
        <v>29</v>
      </c>
      <c r="B65" t="s">
        <v>30</v>
      </c>
      <c r="C65" t="s">
        <v>25</v>
      </c>
      <c r="D65">
        <v>442412</v>
      </c>
      <c r="E65">
        <v>44.85</v>
      </c>
      <c r="F65">
        <v>-93.03</v>
      </c>
      <c r="G65">
        <v>2019</v>
      </c>
      <c r="H65" t="s">
        <v>16</v>
      </c>
      <c r="I65">
        <v>1691.37684085408</v>
      </c>
      <c r="J65">
        <v>7903.0696634712504</v>
      </c>
      <c r="K65">
        <v>-3286.3451647216698</v>
      </c>
      <c r="L65">
        <v>234.83446001376501</v>
      </c>
      <c r="M65">
        <v>10630.3445242856</v>
      </c>
    </row>
    <row r="66" spans="1:13" x14ac:dyDescent="0.3">
      <c r="A66" t="s">
        <v>29</v>
      </c>
      <c r="B66" t="s">
        <v>30</v>
      </c>
      <c r="C66" t="s">
        <v>25</v>
      </c>
      <c r="D66">
        <v>442412</v>
      </c>
      <c r="E66">
        <v>44.85</v>
      </c>
      <c r="F66">
        <v>-93.03</v>
      </c>
      <c r="G66">
        <v>2020</v>
      </c>
      <c r="H66" t="s">
        <v>15</v>
      </c>
      <c r="I66">
        <v>1787.8769029423499</v>
      </c>
      <c r="J66">
        <v>8445.3204160173009</v>
      </c>
      <c r="K66">
        <v>-2177.5429042404999</v>
      </c>
      <c r="L66">
        <v>153.62685075247299</v>
      </c>
      <c r="M66">
        <v>10726.989881786099</v>
      </c>
    </row>
    <row r="67" spans="1:13" hidden="1" x14ac:dyDescent="0.3">
      <c r="A67" t="s">
        <v>29</v>
      </c>
      <c r="B67" t="s">
        <v>30</v>
      </c>
      <c r="C67" t="s">
        <v>25</v>
      </c>
      <c r="D67">
        <v>442412</v>
      </c>
      <c r="E67">
        <v>44.85</v>
      </c>
      <c r="F67">
        <v>-93.03</v>
      </c>
      <c r="G67">
        <v>2020</v>
      </c>
      <c r="H67" t="s">
        <v>16</v>
      </c>
      <c r="I67">
        <v>1769.32962731062</v>
      </c>
      <c r="J67">
        <v>8379.5805036512102</v>
      </c>
      <c r="K67">
        <v>-2390.6663245782602</v>
      </c>
      <c r="L67">
        <v>172.17412638420299</v>
      </c>
      <c r="M67">
        <v>10726.989881786099</v>
      </c>
    </row>
    <row r="68" spans="1:13" x14ac:dyDescent="0.3">
      <c r="A68" t="s">
        <v>29</v>
      </c>
      <c r="B68" t="s">
        <v>30</v>
      </c>
      <c r="C68" t="s">
        <v>25</v>
      </c>
      <c r="D68">
        <v>442412</v>
      </c>
      <c r="E68">
        <v>44.85</v>
      </c>
      <c r="F68">
        <v>-93.03</v>
      </c>
      <c r="G68">
        <v>2021</v>
      </c>
      <c r="H68" t="s">
        <v>15</v>
      </c>
      <c r="I68">
        <v>1787.87690308263</v>
      </c>
      <c r="J68">
        <v>8445.3204160173009</v>
      </c>
      <c r="K68">
        <v>-2177.5429027036398</v>
      </c>
      <c r="L68">
        <v>247.43511184350101</v>
      </c>
      <c r="M68">
        <v>11161.5659304948</v>
      </c>
    </row>
    <row r="69" spans="1:13" hidden="1" x14ac:dyDescent="0.3">
      <c r="A69" t="s">
        <v>29</v>
      </c>
      <c r="B69" t="s">
        <v>30</v>
      </c>
      <c r="C69" t="s">
        <v>25</v>
      </c>
      <c r="D69">
        <v>442412</v>
      </c>
      <c r="E69">
        <v>44.85</v>
      </c>
      <c r="F69">
        <v>-93.03</v>
      </c>
      <c r="G69">
        <v>2021</v>
      </c>
      <c r="H69" t="s">
        <v>16</v>
      </c>
      <c r="I69">
        <v>1841.7851080707701</v>
      </c>
      <c r="J69">
        <v>8654.3020047004593</v>
      </c>
      <c r="K69">
        <v>-1558.20245515479</v>
      </c>
      <c r="L69">
        <v>193.526906855362</v>
      </c>
      <c r="M69">
        <v>11161.5659304948</v>
      </c>
    </row>
    <row r="70" spans="1:13" x14ac:dyDescent="0.3">
      <c r="A70" t="s">
        <v>29</v>
      </c>
      <c r="B70" t="s">
        <v>30</v>
      </c>
      <c r="C70" t="s">
        <v>25</v>
      </c>
      <c r="D70">
        <v>442412</v>
      </c>
      <c r="E70">
        <v>44.85</v>
      </c>
      <c r="F70">
        <v>-93.03</v>
      </c>
      <c r="G70">
        <v>2022</v>
      </c>
      <c r="H70" t="s">
        <v>15</v>
      </c>
      <c r="I70">
        <v>1787.87690301519</v>
      </c>
      <c r="J70">
        <v>8445.3204160173009</v>
      </c>
      <c r="K70">
        <v>-2177.5429033672999</v>
      </c>
      <c r="L70">
        <v>208.742749415254</v>
      </c>
      <c r="M70">
        <v>11038.3648638214</v>
      </c>
    </row>
    <row r="71" spans="1:13" hidden="1" x14ac:dyDescent="0.3">
      <c r="A71" t="s">
        <v>29</v>
      </c>
      <c r="B71" t="s">
        <v>30</v>
      </c>
      <c r="C71" t="s">
        <v>25</v>
      </c>
      <c r="D71">
        <v>442412</v>
      </c>
      <c r="E71">
        <v>44.85</v>
      </c>
      <c r="F71">
        <v>-93.03</v>
      </c>
      <c r="G71">
        <v>2022</v>
      </c>
      <c r="H71" t="s">
        <v>16</v>
      </c>
      <c r="I71">
        <v>1768.07664055226</v>
      </c>
      <c r="J71">
        <v>8352.7370720511699</v>
      </c>
      <c r="K71">
        <v>-2404.8923940002001</v>
      </c>
      <c r="L71">
        <v>228.54301187818501</v>
      </c>
      <c r="M71">
        <v>11038.3648638214</v>
      </c>
    </row>
    <row r="72" spans="1:13" x14ac:dyDescent="0.3">
      <c r="A72" t="s">
        <v>29</v>
      </c>
      <c r="B72" t="s">
        <v>30</v>
      </c>
      <c r="C72" t="s">
        <v>25</v>
      </c>
      <c r="D72">
        <v>442412</v>
      </c>
      <c r="E72">
        <v>44.85</v>
      </c>
      <c r="F72">
        <v>-93.03</v>
      </c>
      <c r="G72">
        <v>2023</v>
      </c>
      <c r="H72" t="s">
        <v>15</v>
      </c>
      <c r="I72">
        <v>1787.87690314006</v>
      </c>
      <c r="J72">
        <v>8445.3204160173009</v>
      </c>
      <c r="K72">
        <v>-2177.5429018872301</v>
      </c>
      <c r="L72">
        <v>243.51002288326299</v>
      </c>
      <c r="M72">
        <v>11155.9566001322</v>
      </c>
    </row>
    <row r="73" spans="1:13" hidden="1" x14ac:dyDescent="0.3">
      <c r="A73" t="s">
        <v>29</v>
      </c>
      <c r="B73" t="s">
        <v>30</v>
      </c>
      <c r="C73" t="s">
        <v>25</v>
      </c>
      <c r="D73">
        <v>442412</v>
      </c>
      <c r="E73">
        <v>44.85</v>
      </c>
      <c r="F73">
        <v>-93.03</v>
      </c>
      <c r="G73">
        <v>2023</v>
      </c>
      <c r="H73" t="s">
        <v>16</v>
      </c>
      <c r="I73">
        <v>1793.29382980128</v>
      </c>
      <c r="J73">
        <v>8455.4755240744907</v>
      </c>
      <c r="K73">
        <v>-2115.15281996977</v>
      </c>
      <c r="L73">
        <v>238.093096222041</v>
      </c>
      <c r="M73">
        <v>11155.9566001322</v>
      </c>
    </row>
    <row r="74" spans="1:13" x14ac:dyDescent="0.3">
      <c r="A74" t="s">
        <v>31</v>
      </c>
      <c r="B74" t="s">
        <v>32</v>
      </c>
      <c r="C74" t="s">
        <v>33</v>
      </c>
      <c r="D74">
        <v>404322</v>
      </c>
      <c r="E74">
        <v>40.68</v>
      </c>
      <c r="F74">
        <v>-74.17</v>
      </c>
      <c r="G74">
        <v>2018</v>
      </c>
      <c r="H74" t="s">
        <v>15</v>
      </c>
      <c r="I74">
        <v>2850.2866485793202</v>
      </c>
      <c r="J74">
        <v>8355.7669406971199</v>
      </c>
      <c r="K74">
        <v>10048.0063713087</v>
      </c>
      <c r="L74">
        <v>1974.7167330897901</v>
      </c>
      <c r="M74">
        <v>10715.7106446246</v>
      </c>
    </row>
    <row r="75" spans="1:13" hidden="1" x14ac:dyDescent="0.3">
      <c r="A75" t="s">
        <v>31</v>
      </c>
      <c r="B75" t="s">
        <v>32</v>
      </c>
      <c r="C75" t="s">
        <v>33</v>
      </c>
      <c r="D75">
        <v>404322</v>
      </c>
      <c r="E75">
        <v>40.68</v>
      </c>
      <c r="F75">
        <v>-74.17</v>
      </c>
      <c r="G75">
        <v>2018</v>
      </c>
      <c r="H75" t="s">
        <v>16</v>
      </c>
      <c r="I75">
        <v>2571.4179336874899</v>
      </c>
      <c r="J75">
        <v>7487.3183723121001</v>
      </c>
      <c r="K75">
        <v>6847.9936021858002</v>
      </c>
      <c r="L75">
        <v>2253.5854479816198</v>
      </c>
      <c r="M75">
        <v>10715.7106446246</v>
      </c>
    </row>
    <row r="76" spans="1:13" x14ac:dyDescent="0.3">
      <c r="A76" t="s">
        <v>31</v>
      </c>
      <c r="B76" t="s">
        <v>32</v>
      </c>
      <c r="C76" t="s">
        <v>33</v>
      </c>
      <c r="D76">
        <v>404322</v>
      </c>
      <c r="E76">
        <v>40.68</v>
      </c>
      <c r="F76">
        <v>-74.17</v>
      </c>
      <c r="G76">
        <v>2019</v>
      </c>
      <c r="H76" t="s">
        <v>15</v>
      </c>
      <c r="I76">
        <v>2822.3138151237599</v>
      </c>
      <c r="J76">
        <v>8355.7669406971199</v>
      </c>
      <c r="K76">
        <v>9715.7293970460705</v>
      </c>
      <c r="L76">
        <v>1936.6160742498701</v>
      </c>
      <c r="M76">
        <v>10652.3591270792</v>
      </c>
    </row>
    <row r="77" spans="1:13" hidden="1" x14ac:dyDescent="0.3">
      <c r="A77" t="s">
        <v>31</v>
      </c>
      <c r="B77" t="s">
        <v>32</v>
      </c>
      <c r="C77" t="s">
        <v>33</v>
      </c>
      <c r="D77">
        <v>404322</v>
      </c>
      <c r="E77">
        <v>40.68</v>
      </c>
      <c r="F77">
        <v>-74.17</v>
      </c>
      <c r="G77">
        <v>2019</v>
      </c>
      <c r="H77" t="s">
        <v>16</v>
      </c>
      <c r="I77">
        <v>2718.9019611798399</v>
      </c>
      <c r="J77">
        <v>8037.8656082992802</v>
      </c>
      <c r="K77">
        <v>8528.3742755981893</v>
      </c>
      <c r="L77">
        <v>2040.0279281937901</v>
      </c>
      <c r="M77">
        <v>10652.3591270792</v>
      </c>
    </row>
    <row r="78" spans="1:13" x14ac:dyDescent="0.3">
      <c r="A78" t="s">
        <v>31</v>
      </c>
      <c r="B78" t="s">
        <v>32</v>
      </c>
      <c r="C78" t="s">
        <v>33</v>
      </c>
      <c r="D78">
        <v>404322</v>
      </c>
      <c r="E78">
        <v>40.68</v>
      </c>
      <c r="F78">
        <v>-74.17</v>
      </c>
      <c r="G78">
        <v>2020</v>
      </c>
      <c r="H78" t="s">
        <v>15</v>
      </c>
      <c r="I78">
        <v>2827.9292547168102</v>
      </c>
      <c r="J78">
        <v>8355.7669406971199</v>
      </c>
      <c r="K78">
        <v>9783.4702468277501</v>
      </c>
      <c r="L78">
        <v>1971.13336217914</v>
      </c>
      <c r="M78">
        <v>10724.2221178122</v>
      </c>
    </row>
    <row r="79" spans="1:13" hidden="1" x14ac:dyDescent="0.3">
      <c r="A79" t="s">
        <v>31</v>
      </c>
      <c r="B79" t="s">
        <v>32</v>
      </c>
      <c r="C79" t="s">
        <v>33</v>
      </c>
      <c r="D79">
        <v>404322</v>
      </c>
      <c r="E79">
        <v>40.68</v>
      </c>
      <c r="F79">
        <v>-74.17</v>
      </c>
      <c r="G79">
        <v>2020</v>
      </c>
      <c r="H79" t="s">
        <v>16</v>
      </c>
      <c r="I79">
        <v>2736.3098340758402</v>
      </c>
      <c r="J79">
        <v>8032.2993650892304</v>
      </c>
      <c r="K79">
        <v>8737.1150830807601</v>
      </c>
      <c r="L79">
        <v>2062.7527828201</v>
      </c>
      <c r="M79">
        <v>10724.2221178122</v>
      </c>
    </row>
    <row r="80" spans="1:13" x14ac:dyDescent="0.3">
      <c r="A80" t="s">
        <v>31</v>
      </c>
      <c r="B80" t="s">
        <v>32</v>
      </c>
      <c r="C80" t="s">
        <v>33</v>
      </c>
      <c r="D80">
        <v>404322</v>
      </c>
      <c r="E80">
        <v>40.68</v>
      </c>
      <c r="F80">
        <v>-74.17</v>
      </c>
      <c r="G80">
        <v>2021</v>
      </c>
      <c r="H80" t="s">
        <v>15</v>
      </c>
      <c r="I80">
        <v>2815.92508745028</v>
      </c>
      <c r="J80">
        <v>8355.7669406971199</v>
      </c>
      <c r="K80">
        <v>9639.1587878028404</v>
      </c>
      <c r="L80">
        <v>1952.4304772651401</v>
      </c>
      <c r="M80">
        <v>10620.6721777846</v>
      </c>
    </row>
    <row r="81" spans="1:13" hidden="1" x14ac:dyDescent="0.3">
      <c r="A81" t="s">
        <v>31</v>
      </c>
      <c r="B81" t="s">
        <v>32</v>
      </c>
      <c r="C81" t="s">
        <v>33</v>
      </c>
      <c r="D81">
        <v>404322</v>
      </c>
      <c r="E81">
        <v>40.68</v>
      </c>
      <c r="F81">
        <v>-74.17</v>
      </c>
      <c r="G81">
        <v>2021</v>
      </c>
      <c r="H81" t="s">
        <v>16</v>
      </c>
      <c r="I81">
        <v>2773.8667592438401</v>
      </c>
      <c r="J81">
        <v>8141.2873496365501</v>
      </c>
      <c r="K81">
        <v>9171.4793796454305</v>
      </c>
      <c r="L81">
        <v>1994.48880547158</v>
      </c>
      <c r="M81">
        <v>10620.6721777846</v>
      </c>
    </row>
    <row r="82" spans="1:13" x14ac:dyDescent="0.3">
      <c r="A82" t="s">
        <v>31</v>
      </c>
      <c r="B82" t="s">
        <v>32</v>
      </c>
      <c r="C82" t="s">
        <v>33</v>
      </c>
      <c r="D82">
        <v>404322</v>
      </c>
      <c r="E82">
        <v>40.68</v>
      </c>
      <c r="F82">
        <v>-74.17</v>
      </c>
      <c r="G82">
        <v>2022</v>
      </c>
      <c r="H82" t="s">
        <v>15</v>
      </c>
      <c r="I82">
        <v>2842.4672013044501</v>
      </c>
      <c r="J82">
        <v>8355.7669406971199</v>
      </c>
      <c r="K82">
        <v>9955.4637177784407</v>
      </c>
      <c r="L82">
        <v>2016.9905995930301</v>
      </c>
      <c r="M82">
        <v>10858.4625173846</v>
      </c>
    </row>
    <row r="83" spans="1:13" hidden="1" x14ac:dyDescent="0.3">
      <c r="A83" t="s">
        <v>31</v>
      </c>
      <c r="B83" t="s">
        <v>32</v>
      </c>
      <c r="C83" t="s">
        <v>33</v>
      </c>
      <c r="D83">
        <v>404322</v>
      </c>
      <c r="E83">
        <v>40.68</v>
      </c>
      <c r="F83">
        <v>-74.17</v>
      </c>
      <c r="G83">
        <v>2022</v>
      </c>
      <c r="H83" t="s">
        <v>16</v>
      </c>
      <c r="I83">
        <v>2939.5157987090802</v>
      </c>
      <c r="J83">
        <v>8605.6907093759401</v>
      </c>
      <c r="K83">
        <v>11076.2606100587</v>
      </c>
      <c r="L83">
        <v>1919.9420021884</v>
      </c>
      <c r="M83">
        <v>10858.4625173846</v>
      </c>
    </row>
    <row r="84" spans="1:13" x14ac:dyDescent="0.3">
      <c r="A84" t="s">
        <v>31</v>
      </c>
      <c r="B84" t="s">
        <v>32</v>
      </c>
      <c r="C84" t="s">
        <v>33</v>
      </c>
      <c r="D84">
        <v>404322</v>
      </c>
      <c r="E84">
        <v>40.68</v>
      </c>
      <c r="F84">
        <v>-74.17</v>
      </c>
      <c r="G84">
        <v>2023</v>
      </c>
      <c r="H84" t="s">
        <v>15</v>
      </c>
      <c r="I84">
        <v>2825.6658295795401</v>
      </c>
      <c r="J84">
        <v>8355.7669406971199</v>
      </c>
      <c r="K84">
        <v>9752.6473719749902</v>
      </c>
      <c r="L84">
        <v>1913.23802289487</v>
      </c>
      <c r="M84">
        <v>10526.5484520516</v>
      </c>
    </row>
    <row r="85" spans="1:13" hidden="1" x14ac:dyDescent="0.3">
      <c r="A85" t="s">
        <v>31</v>
      </c>
      <c r="B85" t="s">
        <v>32</v>
      </c>
      <c r="C85" t="s">
        <v>33</v>
      </c>
      <c r="D85">
        <v>404322</v>
      </c>
      <c r="E85">
        <v>40.68</v>
      </c>
      <c r="F85">
        <v>-74.17</v>
      </c>
      <c r="G85">
        <v>2023</v>
      </c>
      <c r="H85" t="s">
        <v>16</v>
      </c>
      <c r="I85">
        <v>2784.5967191425002</v>
      </c>
      <c r="J85">
        <v>8181.5232049546303</v>
      </c>
      <c r="K85">
        <v>9291.9511552837102</v>
      </c>
      <c r="L85">
        <v>1954.3071333319101</v>
      </c>
      <c r="M85">
        <v>10526.5484520516</v>
      </c>
    </row>
    <row r="86" spans="1:13" x14ac:dyDescent="0.3">
      <c r="A86" t="s">
        <v>34</v>
      </c>
      <c r="B86" t="s">
        <v>35</v>
      </c>
      <c r="C86" t="s">
        <v>36</v>
      </c>
      <c r="D86">
        <v>448494</v>
      </c>
      <c r="E86">
        <v>39.99</v>
      </c>
      <c r="F86">
        <v>-82.88</v>
      </c>
      <c r="G86">
        <v>2018</v>
      </c>
      <c r="H86" t="s">
        <v>15</v>
      </c>
      <c r="I86">
        <v>1291.74231539332</v>
      </c>
      <c r="J86">
        <v>8065.73173098598</v>
      </c>
      <c r="K86">
        <v>-7836.7379948379303</v>
      </c>
      <c r="L86">
        <v>626.02297195630501</v>
      </c>
      <c r="M86">
        <v>10763.934895371</v>
      </c>
    </row>
    <row r="87" spans="1:13" hidden="1" x14ac:dyDescent="0.3">
      <c r="A87" t="s">
        <v>34</v>
      </c>
      <c r="B87" t="s">
        <v>35</v>
      </c>
      <c r="C87" t="s">
        <v>36</v>
      </c>
      <c r="D87">
        <v>448494</v>
      </c>
      <c r="E87">
        <v>39.99</v>
      </c>
      <c r="F87">
        <v>-82.88</v>
      </c>
      <c r="G87">
        <v>2018</v>
      </c>
      <c r="H87" t="s">
        <v>16</v>
      </c>
      <c r="I87">
        <v>1239.4263699563501</v>
      </c>
      <c r="J87">
        <v>7731.7197729364398</v>
      </c>
      <c r="K87">
        <v>-8438.2426710293003</v>
      </c>
      <c r="L87">
        <v>678.33891739327896</v>
      </c>
      <c r="M87">
        <v>10763.934895371</v>
      </c>
    </row>
    <row r="88" spans="1:13" x14ac:dyDescent="0.3">
      <c r="A88" t="s">
        <v>34</v>
      </c>
      <c r="B88" t="s">
        <v>35</v>
      </c>
      <c r="C88" t="s">
        <v>36</v>
      </c>
      <c r="D88">
        <v>448494</v>
      </c>
      <c r="E88">
        <v>39.99</v>
      </c>
      <c r="F88">
        <v>-82.88</v>
      </c>
      <c r="G88">
        <v>2019</v>
      </c>
      <c r="H88" t="s">
        <v>15</v>
      </c>
      <c r="I88">
        <v>1285.89211593505</v>
      </c>
      <c r="J88">
        <v>8065.73173098598</v>
      </c>
      <c r="K88">
        <v>-7892.5902580947304</v>
      </c>
      <c r="L88">
        <v>585.13073536494505</v>
      </c>
      <c r="M88">
        <v>10470.6085862419</v>
      </c>
    </row>
    <row r="89" spans="1:13" hidden="1" x14ac:dyDescent="0.3">
      <c r="A89" t="s">
        <v>34</v>
      </c>
      <c r="B89" t="s">
        <v>35</v>
      </c>
      <c r="C89" t="s">
        <v>36</v>
      </c>
      <c r="D89">
        <v>448494</v>
      </c>
      <c r="E89">
        <v>39.99</v>
      </c>
      <c r="F89">
        <v>-82.88</v>
      </c>
      <c r="G89">
        <v>2019</v>
      </c>
      <c r="H89" t="s">
        <v>16</v>
      </c>
      <c r="I89">
        <v>1287.9673104180699</v>
      </c>
      <c r="J89">
        <v>8031.4961671601504</v>
      </c>
      <c r="K89">
        <v>-7886.32444553397</v>
      </c>
      <c r="L89">
        <v>583.05554088192503</v>
      </c>
      <c r="M89">
        <v>10470.6085862419</v>
      </c>
    </row>
    <row r="90" spans="1:13" x14ac:dyDescent="0.3">
      <c r="A90" t="s">
        <v>34</v>
      </c>
      <c r="B90" t="s">
        <v>35</v>
      </c>
      <c r="C90" t="s">
        <v>36</v>
      </c>
      <c r="D90">
        <v>448494</v>
      </c>
      <c r="E90">
        <v>39.99</v>
      </c>
      <c r="F90">
        <v>-82.88</v>
      </c>
      <c r="G90">
        <v>2020</v>
      </c>
      <c r="H90" t="s">
        <v>15</v>
      </c>
      <c r="I90">
        <v>1284.7539950888299</v>
      </c>
      <c r="J90">
        <v>8065.73173098598</v>
      </c>
      <c r="K90">
        <v>-7902.6651405657403</v>
      </c>
      <c r="L90">
        <v>560.49729383046895</v>
      </c>
      <c r="M90">
        <v>10314.041517765199</v>
      </c>
    </row>
    <row r="91" spans="1:13" hidden="1" x14ac:dyDescent="0.3">
      <c r="A91" t="s">
        <v>34</v>
      </c>
      <c r="B91" t="s">
        <v>35</v>
      </c>
      <c r="C91" t="s">
        <v>36</v>
      </c>
      <c r="D91">
        <v>448494</v>
      </c>
      <c r="E91">
        <v>39.99</v>
      </c>
      <c r="F91">
        <v>-82.88</v>
      </c>
      <c r="G91">
        <v>2020</v>
      </c>
      <c r="H91" t="s">
        <v>16</v>
      </c>
      <c r="I91">
        <v>1233.81017644795</v>
      </c>
      <c r="J91">
        <v>7701.0047790318904</v>
      </c>
      <c r="K91">
        <v>-8510.2674320915594</v>
      </c>
      <c r="L91">
        <v>611.44111247134401</v>
      </c>
      <c r="M91">
        <v>10314.041517765199</v>
      </c>
    </row>
    <row r="92" spans="1:13" x14ac:dyDescent="0.3">
      <c r="A92" t="s">
        <v>34</v>
      </c>
      <c r="B92" t="s">
        <v>35</v>
      </c>
      <c r="C92" t="s">
        <v>36</v>
      </c>
      <c r="D92">
        <v>448494</v>
      </c>
      <c r="E92">
        <v>39.99</v>
      </c>
      <c r="F92">
        <v>-82.88</v>
      </c>
      <c r="G92">
        <v>2021</v>
      </c>
      <c r="H92" t="s">
        <v>15</v>
      </c>
      <c r="I92">
        <v>1284.84512795055</v>
      </c>
      <c r="J92">
        <v>8065.73173098598</v>
      </c>
      <c r="K92">
        <v>-7892.42346015355</v>
      </c>
      <c r="L92">
        <v>569.59920925706194</v>
      </c>
      <c r="M92">
        <v>10366.993110727301</v>
      </c>
    </row>
    <row r="93" spans="1:13" hidden="1" x14ac:dyDescent="0.3">
      <c r="A93" t="s">
        <v>34</v>
      </c>
      <c r="B93" t="s">
        <v>35</v>
      </c>
      <c r="C93" t="s">
        <v>36</v>
      </c>
      <c r="D93">
        <v>448494</v>
      </c>
      <c r="E93">
        <v>39.99</v>
      </c>
      <c r="F93">
        <v>-82.88</v>
      </c>
      <c r="G93">
        <v>2021</v>
      </c>
      <c r="H93" t="s">
        <v>16</v>
      </c>
      <c r="I93">
        <v>1321.34291601155</v>
      </c>
      <c r="J93">
        <v>8351.8812936241393</v>
      </c>
      <c r="K93">
        <v>-7454.36978149881</v>
      </c>
      <c r="L93">
        <v>533.10142119606496</v>
      </c>
      <c r="M93">
        <v>10366.993110727301</v>
      </c>
    </row>
    <row r="94" spans="1:13" x14ac:dyDescent="0.3">
      <c r="A94" t="s">
        <v>34</v>
      </c>
      <c r="B94" t="s">
        <v>35</v>
      </c>
      <c r="C94" t="s">
        <v>36</v>
      </c>
      <c r="D94">
        <v>448494</v>
      </c>
      <c r="E94">
        <v>39.99</v>
      </c>
      <c r="F94">
        <v>-82.88</v>
      </c>
      <c r="G94">
        <v>2022</v>
      </c>
      <c r="H94" t="s">
        <v>15</v>
      </c>
      <c r="I94">
        <v>1288.5414844981799</v>
      </c>
      <c r="J94">
        <v>8065.73173098598</v>
      </c>
      <c r="K94">
        <v>-7858.5174816706904</v>
      </c>
      <c r="L94">
        <v>556.85005100021897</v>
      </c>
      <c r="M94">
        <v>10313.8170168544</v>
      </c>
    </row>
    <row r="95" spans="1:13" hidden="1" x14ac:dyDescent="0.3">
      <c r="A95" t="s">
        <v>34</v>
      </c>
      <c r="B95" t="s">
        <v>35</v>
      </c>
      <c r="C95" t="s">
        <v>36</v>
      </c>
      <c r="D95">
        <v>448494</v>
      </c>
      <c r="E95">
        <v>39.99</v>
      </c>
      <c r="F95">
        <v>-82.88</v>
      </c>
      <c r="G95">
        <v>2022</v>
      </c>
      <c r="H95" t="s">
        <v>16</v>
      </c>
      <c r="I95">
        <v>1330.6201341962601</v>
      </c>
      <c r="J95">
        <v>8335.1619279701208</v>
      </c>
      <c r="K95">
        <v>-7384.3304108533703</v>
      </c>
      <c r="L95">
        <v>514.771401302139</v>
      </c>
      <c r="M95">
        <v>10313.8170168544</v>
      </c>
    </row>
    <row r="96" spans="1:13" x14ac:dyDescent="0.3">
      <c r="A96" t="s">
        <v>34</v>
      </c>
      <c r="B96" t="s">
        <v>35</v>
      </c>
      <c r="C96" t="s">
        <v>36</v>
      </c>
      <c r="D96">
        <v>448494</v>
      </c>
      <c r="E96">
        <v>39.99</v>
      </c>
      <c r="F96">
        <v>-82.88</v>
      </c>
      <c r="G96">
        <v>2023</v>
      </c>
      <c r="H96" t="s">
        <v>15</v>
      </c>
      <c r="I96">
        <v>1285.22650072689</v>
      </c>
      <c r="J96">
        <v>8065.73173098598</v>
      </c>
      <c r="K96">
        <v>-7898.2576454878499</v>
      </c>
      <c r="L96">
        <v>541.38900883209499</v>
      </c>
      <c r="M96">
        <v>10195.4635186588</v>
      </c>
    </row>
    <row r="97" spans="1:13" hidden="1" x14ac:dyDescent="0.3">
      <c r="A97" t="s">
        <v>34</v>
      </c>
      <c r="B97" t="s">
        <v>35</v>
      </c>
      <c r="C97" t="s">
        <v>36</v>
      </c>
      <c r="D97">
        <v>448494</v>
      </c>
      <c r="E97">
        <v>39.99</v>
      </c>
      <c r="F97">
        <v>-82.88</v>
      </c>
      <c r="G97">
        <v>2023</v>
      </c>
      <c r="H97" t="s">
        <v>16</v>
      </c>
      <c r="I97">
        <v>1308.2320959031099</v>
      </c>
      <c r="J97">
        <v>8222.7113154047292</v>
      </c>
      <c r="K97">
        <v>-7632.4771572973305</v>
      </c>
      <c r="L97">
        <v>518.38341365587598</v>
      </c>
      <c r="M97">
        <v>10195.4635186588</v>
      </c>
    </row>
    <row r="98" spans="1:13" x14ac:dyDescent="0.3">
      <c r="A98" t="s">
        <v>37</v>
      </c>
      <c r="B98" t="s">
        <v>38</v>
      </c>
      <c r="C98" t="s">
        <v>39</v>
      </c>
      <c r="D98">
        <v>67263</v>
      </c>
      <c r="E98">
        <v>45.59</v>
      </c>
      <c r="F98">
        <v>-122.6</v>
      </c>
      <c r="G98">
        <v>2018</v>
      </c>
      <c r="H98" t="s">
        <v>15</v>
      </c>
      <c r="I98">
        <v>989.88223959826905</v>
      </c>
      <c r="J98">
        <v>7536.4092728214</v>
      </c>
      <c r="K98">
        <v>-10449.9552758425</v>
      </c>
      <c r="L98">
        <v>1379.8068752885299</v>
      </c>
      <c r="M98">
        <v>11053.286354645799</v>
      </c>
    </row>
    <row r="99" spans="1:13" hidden="1" x14ac:dyDescent="0.3">
      <c r="A99" t="s">
        <v>37</v>
      </c>
      <c r="B99" t="s">
        <v>38</v>
      </c>
      <c r="C99" t="s">
        <v>39</v>
      </c>
      <c r="D99">
        <v>67263</v>
      </c>
      <c r="E99">
        <v>45.59</v>
      </c>
      <c r="F99">
        <v>-122.6</v>
      </c>
      <c r="G99">
        <v>2018</v>
      </c>
      <c r="H99" t="s">
        <v>16</v>
      </c>
      <c r="I99">
        <v>967.29298030415703</v>
      </c>
      <c r="J99">
        <v>7517.6058858993201</v>
      </c>
      <c r="K99">
        <v>-10633.7613832114</v>
      </c>
      <c r="L99">
        <v>1402.3961345826399</v>
      </c>
      <c r="M99">
        <v>11053.286354645799</v>
      </c>
    </row>
    <row r="100" spans="1:13" x14ac:dyDescent="0.3">
      <c r="A100" t="s">
        <v>37</v>
      </c>
      <c r="B100" t="s">
        <v>38</v>
      </c>
      <c r="C100" t="s">
        <v>39</v>
      </c>
      <c r="D100">
        <v>67263</v>
      </c>
      <c r="E100">
        <v>45.59</v>
      </c>
      <c r="F100">
        <v>-122.6</v>
      </c>
      <c r="G100">
        <v>2019</v>
      </c>
      <c r="H100" t="s">
        <v>15</v>
      </c>
      <c r="I100">
        <v>958.61335034419801</v>
      </c>
      <c r="J100">
        <v>7536.4092728214</v>
      </c>
      <c r="K100">
        <v>-10794.400399952699</v>
      </c>
      <c r="L100">
        <v>1368.57627271052</v>
      </c>
      <c r="M100">
        <v>10917.6655449929</v>
      </c>
    </row>
    <row r="101" spans="1:13" hidden="1" x14ac:dyDescent="0.3">
      <c r="A101" t="s">
        <v>37</v>
      </c>
      <c r="B101" t="s">
        <v>38</v>
      </c>
      <c r="C101" t="s">
        <v>39</v>
      </c>
      <c r="D101">
        <v>67263</v>
      </c>
      <c r="E101">
        <v>45.59</v>
      </c>
      <c r="F101">
        <v>-122.6</v>
      </c>
      <c r="G101">
        <v>2019</v>
      </c>
      <c r="H101" t="s">
        <v>16</v>
      </c>
      <c r="I101">
        <v>946.696763311533</v>
      </c>
      <c r="J101">
        <v>7367.7896287339499</v>
      </c>
      <c r="K101">
        <v>-10927.1421719687</v>
      </c>
      <c r="L101">
        <v>1380.4928597431899</v>
      </c>
      <c r="M101">
        <v>10917.6655449929</v>
      </c>
    </row>
    <row r="102" spans="1:13" x14ac:dyDescent="0.3">
      <c r="A102" t="s">
        <v>37</v>
      </c>
      <c r="B102" t="s">
        <v>38</v>
      </c>
      <c r="C102" t="s">
        <v>39</v>
      </c>
      <c r="D102">
        <v>67263</v>
      </c>
      <c r="E102">
        <v>45.59</v>
      </c>
      <c r="F102">
        <v>-122.6</v>
      </c>
      <c r="G102">
        <v>2020</v>
      </c>
      <c r="H102" t="s">
        <v>15</v>
      </c>
      <c r="I102">
        <v>961.41819132569697</v>
      </c>
      <c r="J102">
        <v>7536.4092728214</v>
      </c>
      <c r="K102">
        <v>-10834.3265021343</v>
      </c>
      <c r="L102">
        <v>1338.1870931241899</v>
      </c>
      <c r="M102">
        <v>10761.7169656023</v>
      </c>
    </row>
    <row r="103" spans="1:13" hidden="1" x14ac:dyDescent="0.3">
      <c r="A103" t="s">
        <v>37</v>
      </c>
      <c r="B103" t="s">
        <v>38</v>
      </c>
      <c r="C103" t="s">
        <v>39</v>
      </c>
      <c r="D103">
        <v>67263</v>
      </c>
      <c r="E103">
        <v>45.59</v>
      </c>
      <c r="F103">
        <v>-122.6</v>
      </c>
      <c r="G103">
        <v>2020</v>
      </c>
      <c r="H103" t="s">
        <v>16</v>
      </c>
      <c r="I103">
        <v>948.96772941420204</v>
      </c>
      <c r="J103">
        <v>7490.5853836996503</v>
      </c>
      <c r="K103">
        <v>-10947.188967628501</v>
      </c>
      <c r="L103">
        <v>1350.63755503569</v>
      </c>
      <c r="M103">
        <v>10761.7169656023</v>
      </c>
    </row>
    <row r="104" spans="1:13" x14ac:dyDescent="0.3">
      <c r="A104" t="s">
        <v>37</v>
      </c>
      <c r="B104" t="s">
        <v>38</v>
      </c>
      <c r="C104" t="s">
        <v>39</v>
      </c>
      <c r="D104">
        <v>67263</v>
      </c>
      <c r="E104">
        <v>45.59</v>
      </c>
      <c r="F104">
        <v>-122.6</v>
      </c>
      <c r="G104">
        <v>2021</v>
      </c>
      <c r="H104" t="s">
        <v>15</v>
      </c>
      <c r="I104">
        <v>1021.2935082679199</v>
      </c>
      <c r="J104">
        <v>7536.4092728214</v>
      </c>
      <c r="K104">
        <v>-10073.9332818245</v>
      </c>
      <c r="L104">
        <v>1436.3585835624399</v>
      </c>
      <c r="M104">
        <v>11433.276848698</v>
      </c>
    </row>
    <row r="105" spans="1:13" hidden="1" x14ac:dyDescent="0.3">
      <c r="A105" t="s">
        <v>37</v>
      </c>
      <c r="B105" t="s">
        <v>38</v>
      </c>
      <c r="C105" t="s">
        <v>39</v>
      </c>
      <c r="D105">
        <v>67263</v>
      </c>
      <c r="E105">
        <v>45.59</v>
      </c>
      <c r="F105">
        <v>-122.6</v>
      </c>
      <c r="G105">
        <v>2021</v>
      </c>
      <c r="H105" t="s">
        <v>16</v>
      </c>
      <c r="I105">
        <v>1016.6565278611901</v>
      </c>
      <c r="J105">
        <v>7658.5613024061604</v>
      </c>
      <c r="K105">
        <v>-10127.210701187299</v>
      </c>
      <c r="L105">
        <v>1440.99556396918</v>
      </c>
      <c r="M105">
        <v>11433.276848698</v>
      </c>
    </row>
    <row r="106" spans="1:13" x14ac:dyDescent="0.3">
      <c r="A106" t="s">
        <v>37</v>
      </c>
      <c r="B106" t="s">
        <v>38</v>
      </c>
      <c r="C106" t="s">
        <v>39</v>
      </c>
      <c r="D106">
        <v>67263</v>
      </c>
      <c r="E106">
        <v>45.59</v>
      </c>
      <c r="F106">
        <v>-122.6</v>
      </c>
      <c r="G106">
        <v>2022</v>
      </c>
      <c r="H106" t="s">
        <v>15</v>
      </c>
      <c r="I106">
        <v>1012.66912250133</v>
      </c>
      <c r="J106">
        <v>7536.4092728214</v>
      </c>
      <c r="K106">
        <v>-10190.72440784</v>
      </c>
      <c r="L106">
        <v>1426.0330608506899</v>
      </c>
      <c r="M106">
        <v>11373.105412045201</v>
      </c>
    </row>
    <row r="107" spans="1:13" hidden="1" x14ac:dyDescent="0.3">
      <c r="A107" t="s">
        <v>37</v>
      </c>
      <c r="B107" t="s">
        <v>38</v>
      </c>
      <c r="C107" t="s">
        <v>39</v>
      </c>
      <c r="D107">
        <v>67263</v>
      </c>
      <c r="E107">
        <v>45.59</v>
      </c>
      <c r="F107">
        <v>-122.6</v>
      </c>
      <c r="G107">
        <v>2022</v>
      </c>
      <c r="H107" t="s">
        <v>16</v>
      </c>
      <c r="I107">
        <v>1017.92035436438</v>
      </c>
      <c r="J107">
        <v>7610.1321043795197</v>
      </c>
      <c r="K107">
        <v>-10306.9003025564</v>
      </c>
      <c r="L107">
        <v>1420.78182898763</v>
      </c>
      <c r="M107">
        <v>11373.105412045201</v>
      </c>
    </row>
    <row r="108" spans="1:13" x14ac:dyDescent="0.3">
      <c r="A108" t="s">
        <v>37</v>
      </c>
      <c r="B108" t="s">
        <v>38</v>
      </c>
      <c r="C108" t="s">
        <v>39</v>
      </c>
      <c r="D108">
        <v>67263</v>
      </c>
      <c r="E108">
        <v>45.59</v>
      </c>
      <c r="F108">
        <v>-122.6</v>
      </c>
      <c r="G108">
        <v>2023</v>
      </c>
      <c r="H108" t="s">
        <v>15</v>
      </c>
      <c r="I108">
        <v>998.92639306451997</v>
      </c>
      <c r="J108">
        <v>7536.4092728214</v>
      </c>
      <c r="K108">
        <v>-10324.7592966992</v>
      </c>
      <c r="L108">
        <v>1419.81824733754</v>
      </c>
      <c r="M108">
        <v>11288.5906586286</v>
      </c>
    </row>
    <row r="109" spans="1:13" hidden="1" x14ac:dyDescent="0.3">
      <c r="A109" t="s">
        <v>37</v>
      </c>
      <c r="B109" t="s">
        <v>38</v>
      </c>
      <c r="C109" t="s">
        <v>39</v>
      </c>
      <c r="D109">
        <v>67263</v>
      </c>
      <c r="E109">
        <v>45.59</v>
      </c>
      <c r="F109">
        <v>-122.6</v>
      </c>
      <c r="G109">
        <v>2023</v>
      </c>
      <c r="H109" t="s">
        <v>16</v>
      </c>
      <c r="I109">
        <v>1014.61500068959</v>
      </c>
      <c r="J109">
        <v>7762.9273341253802</v>
      </c>
      <c r="K109">
        <v>-10225.726112041801</v>
      </c>
      <c r="L109">
        <v>1404.1296397124599</v>
      </c>
      <c r="M109">
        <v>11288.5906586286</v>
      </c>
    </row>
    <row r="110" spans="1:13" x14ac:dyDescent="0.3">
      <c r="A110" t="s">
        <v>40</v>
      </c>
      <c r="B110" t="s">
        <v>41</v>
      </c>
      <c r="C110" t="s">
        <v>25</v>
      </c>
      <c r="D110">
        <v>168160</v>
      </c>
      <c r="E110">
        <v>35.22</v>
      </c>
      <c r="F110">
        <v>-101.71</v>
      </c>
      <c r="G110">
        <v>2018</v>
      </c>
      <c r="H110" t="s">
        <v>15</v>
      </c>
      <c r="I110">
        <v>1114.5209598771501</v>
      </c>
      <c r="J110">
        <v>10998.328467204299</v>
      </c>
      <c r="K110">
        <v>-9155.35073834385</v>
      </c>
      <c r="L110">
        <v>273.39666527931797</v>
      </c>
      <c r="M110">
        <v>11793.4222320566</v>
      </c>
    </row>
    <row r="111" spans="1:13" hidden="1" x14ac:dyDescent="0.3">
      <c r="A111" t="s">
        <v>40</v>
      </c>
      <c r="B111" t="s">
        <v>41</v>
      </c>
      <c r="C111" t="s">
        <v>25</v>
      </c>
      <c r="D111">
        <v>168160</v>
      </c>
      <c r="E111">
        <v>35.22</v>
      </c>
      <c r="F111">
        <v>-101.71</v>
      </c>
      <c r="G111">
        <v>2018</v>
      </c>
      <c r="H111" t="s">
        <v>16</v>
      </c>
      <c r="I111">
        <v>1133.4029516651999</v>
      </c>
      <c r="J111">
        <v>10896.0305134438</v>
      </c>
      <c r="K111">
        <v>-9181.5096087917209</v>
      </c>
      <c r="L111">
        <v>254.514673491266</v>
      </c>
      <c r="M111">
        <v>11793.4222320566</v>
      </c>
    </row>
    <row r="112" spans="1:13" x14ac:dyDescent="0.3">
      <c r="A112" t="s">
        <v>40</v>
      </c>
      <c r="B112" t="s">
        <v>41</v>
      </c>
      <c r="C112" t="s">
        <v>25</v>
      </c>
      <c r="D112">
        <v>168160</v>
      </c>
      <c r="E112">
        <v>35.22</v>
      </c>
      <c r="F112">
        <v>-101.71</v>
      </c>
      <c r="G112">
        <v>2019</v>
      </c>
      <c r="H112" t="s">
        <v>15</v>
      </c>
      <c r="I112">
        <v>1122.7797977054599</v>
      </c>
      <c r="J112">
        <v>10998.328467204299</v>
      </c>
      <c r="K112">
        <v>-9043.8959571339692</v>
      </c>
      <c r="L112">
        <v>247.528131886632</v>
      </c>
      <c r="M112">
        <v>11495.7243308946</v>
      </c>
    </row>
    <row r="113" spans="1:13" hidden="1" x14ac:dyDescent="0.3">
      <c r="A113" t="s">
        <v>40</v>
      </c>
      <c r="B113" t="s">
        <v>41</v>
      </c>
      <c r="C113" t="s">
        <v>25</v>
      </c>
      <c r="D113">
        <v>168160</v>
      </c>
      <c r="E113">
        <v>35.22</v>
      </c>
      <c r="F113">
        <v>-101.71</v>
      </c>
      <c r="G113">
        <v>2019</v>
      </c>
      <c r="H113" t="s">
        <v>16</v>
      </c>
      <c r="I113">
        <v>1102.1899927695599</v>
      </c>
      <c r="J113">
        <v>10725.060852325199</v>
      </c>
      <c r="K113">
        <v>-9305.3670469307708</v>
      </c>
      <c r="L113">
        <v>268.11793682252602</v>
      </c>
      <c r="M113">
        <v>11495.7243308946</v>
      </c>
    </row>
    <row r="114" spans="1:13" x14ac:dyDescent="0.3">
      <c r="A114" t="s">
        <v>40</v>
      </c>
      <c r="B114" t="s">
        <v>41</v>
      </c>
      <c r="C114" t="s">
        <v>25</v>
      </c>
      <c r="D114">
        <v>168160</v>
      </c>
      <c r="E114">
        <v>35.22</v>
      </c>
      <c r="F114">
        <v>-101.71</v>
      </c>
      <c r="G114">
        <v>2020</v>
      </c>
      <c r="H114" t="s">
        <v>15</v>
      </c>
      <c r="I114">
        <v>1138.83424791011</v>
      </c>
      <c r="J114">
        <v>10998.328467204299</v>
      </c>
      <c r="K114">
        <v>-8993.9443128242092</v>
      </c>
      <c r="L114">
        <v>262.13362030269599</v>
      </c>
      <c r="M114">
        <v>11841.675346030701</v>
      </c>
    </row>
    <row r="115" spans="1:13" hidden="1" x14ac:dyDescent="0.3">
      <c r="A115" t="s">
        <v>40</v>
      </c>
      <c r="B115" t="s">
        <v>41</v>
      </c>
      <c r="C115" t="s">
        <v>25</v>
      </c>
      <c r="D115">
        <v>168160</v>
      </c>
      <c r="E115">
        <v>35.22</v>
      </c>
      <c r="F115">
        <v>-101.71</v>
      </c>
      <c r="G115">
        <v>2020</v>
      </c>
      <c r="H115" t="s">
        <v>16</v>
      </c>
      <c r="I115">
        <v>1144.5639919533801</v>
      </c>
      <c r="J115">
        <v>11154.431047558401</v>
      </c>
      <c r="K115">
        <v>-8874.5005509255807</v>
      </c>
      <c r="L115">
        <v>256.40387625943401</v>
      </c>
      <c r="M115">
        <v>11841.675346030701</v>
      </c>
    </row>
    <row r="116" spans="1:13" x14ac:dyDescent="0.3">
      <c r="A116" t="s">
        <v>40</v>
      </c>
      <c r="B116" t="s">
        <v>41</v>
      </c>
      <c r="C116" t="s">
        <v>25</v>
      </c>
      <c r="D116">
        <v>168160</v>
      </c>
      <c r="E116">
        <v>35.22</v>
      </c>
      <c r="F116">
        <v>-101.71</v>
      </c>
      <c r="G116">
        <v>2021</v>
      </c>
      <c r="H116" t="s">
        <v>15</v>
      </c>
      <c r="I116">
        <v>1117.62866339893</v>
      </c>
      <c r="J116">
        <v>10998.328467204299</v>
      </c>
      <c r="K116">
        <v>-9220.9038048359507</v>
      </c>
      <c r="L116">
        <v>236.664305589425</v>
      </c>
      <c r="M116">
        <v>11437.471072709601</v>
      </c>
    </row>
    <row r="117" spans="1:13" hidden="1" x14ac:dyDescent="0.3">
      <c r="A117" t="s">
        <v>40</v>
      </c>
      <c r="B117" t="s">
        <v>41</v>
      </c>
      <c r="C117" t="s">
        <v>25</v>
      </c>
      <c r="D117">
        <v>168160</v>
      </c>
      <c r="E117">
        <v>35.22</v>
      </c>
      <c r="F117">
        <v>-101.71</v>
      </c>
      <c r="G117">
        <v>2021</v>
      </c>
      <c r="H117" t="s">
        <v>16</v>
      </c>
      <c r="I117">
        <v>1109.25885150366</v>
      </c>
      <c r="J117">
        <v>11020.131276384</v>
      </c>
      <c r="K117">
        <v>-9187.9124299938703</v>
      </c>
      <c r="L117">
        <v>245.03411748469699</v>
      </c>
      <c r="M117">
        <v>11437.471072709601</v>
      </c>
    </row>
    <row r="118" spans="1:13" x14ac:dyDescent="0.3">
      <c r="A118" t="s">
        <v>40</v>
      </c>
      <c r="B118" t="s">
        <v>41</v>
      </c>
      <c r="C118" t="s">
        <v>25</v>
      </c>
      <c r="D118">
        <v>168160</v>
      </c>
      <c r="E118">
        <v>35.22</v>
      </c>
      <c r="F118">
        <v>-101.71</v>
      </c>
      <c r="G118">
        <v>2022</v>
      </c>
      <c r="H118" t="s">
        <v>15</v>
      </c>
      <c r="I118">
        <v>1135.21070129131</v>
      </c>
      <c r="J118">
        <v>10998.328467204299</v>
      </c>
      <c r="K118">
        <v>-8962.6028043403603</v>
      </c>
      <c r="L118">
        <v>299.63154784225901</v>
      </c>
      <c r="M118">
        <v>12232.5623069919</v>
      </c>
    </row>
    <row r="119" spans="1:13" hidden="1" x14ac:dyDescent="0.3">
      <c r="A119" t="s">
        <v>40</v>
      </c>
      <c r="B119" t="s">
        <v>41</v>
      </c>
      <c r="C119" t="s">
        <v>25</v>
      </c>
      <c r="D119">
        <v>168160</v>
      </c>
      <c r="E119">
        <v>35.22</v>
      </c>
      <c r="F119">
        <v>-101.71</v>
      </c>
      <c r="G119">
        <v>2022</v>
      </c>
      <c r="H119" t="s">
        <v>16</v>
      </c>
      <c r="I119">
        <v>1174.4839412394599</v>
      </c>
      <c r="J119">
        <v>11221.6557741988</v>
      </c>
      <c r="K119">
        <v>-8699.7079330616707</v>
      </c>
      <c r="L119">
        <v>260.35830789411</v>
      </c>
      <c r="M119">
        <v>12232.5623069919</v>
      </c>
    </row>
    <row r="120" spans="1:13" x14ac:dyDescent="0.3">
      <c r="A120" t="s">
        <v>40</v>
      </c>
      <c r="B120" t="s">
        <v>41</v>
      </c>
      <c r="C120" t="s">
        <v>25</v>
      </c>
      <c r="D120">
        <v>168160</v>
      </c>
      <c r="E120">
        <v>35.22</v>
      </c>
      <c r="F120">
        <v>-101.71</v>
      </c>
      <c r="G120">
        <v>2023</v>
      </c>
      <c r="H120" t="s">
        <v>15</v>
      </c>
      <c r="I120">
        <v>1137.1882374960101</v>
      </c>
      <c r="J120">
        <v>10998.328467204299</v>
      </c>
      <c r="K120">
        <v>-9057.8694221138303</v>
      </c>
      <c r="L120">
        <v>259.90286770791101</v>
      </c>
      <c r="M120">
        <v>11854.743329131001</v>
      </c>
    </row>
    <row r="121" spans="1:13" hidden="1" x14ac:dyDescent="0.3">
      <c r="A121" t="s">
        <v>40</v>
      </c>
      <c r="B121" t="s">
        <v>41</v>
      </c>
      <c r="C121" t="s">
        <v>25</v>
      </c>
      <c r="D121">
        <v>168160</v>
      </c>
      <c r="E121">
        <v>35.22</v>
      </c>
      <c r="F121">
        <v>-101.71</v>
      </c>
      <c r="G121">
        <v>2023</v>
      </c>
      <c r="H121" t="s">
        <v>16</v>
      </c>
      <c r="I121">
        <v>1138.72925218308</v>
      </c>
      <c r="J121">
        <v>11162.804514433499</v>
      </c>
      <c r="K121">
        <v>-8941.3474592601997</v>
      </c>
      <c r="L121">
        <v>258.36185302083902</v>
      </c>
      <c r="M121">
        <v>11854.743329131001</v>
      </c>
    </row>
    <row r="122" spans="1:13" x14ac:dyDescent="0.3">
      <c r="A122" t="s">
        <v>42</v>
      </c>
      <c r="B122" t="s">
        <v>43</v>
      </c>
      <c r="C122" t="s">
        <v>44</v>
      </c>
      <c r="D122">
        <v>1652</v>
      </c>
      <c r="E122">
        <v>44.47</v>
      </c>
      <c r="F122">
        <v>-73.150000000000006</v>
      </c>
      <c r="G122">
        <v>2018</v>
      </c>
      <c r="H122" t="s">
        <v>15</v>
      </c>
      <c r="I122">
        <v>1487.96655202683</v>
      </c>
      <c r="J122">
        <v>7791.1816478707697</v>
      </c>
      <c r="K122">
        <v>-5590.4954508976798</v>
      </c>
      <c r="L122">
        <v>1009.29317539331</v>
      </c>
      <c r="M122">
        <v>11230.828928365299</v>
      </c>
    </row>
    <row r="123" spans="1:13" hidden="1" x14ac:dyDescent="0.3">
      <c r="A123" t="s">
        <v>42</v>
      </c>
      <c r="B123" t="s">
        <v>43</v>
      </c>
      <c r="C123" t="s">
        <v>44</v>
      </c>
      <c r="D123">
        <v>1652</v>
      </c>
      <c r="E123">
        <v>44.47</v>
      </c>
      <c r="F123">
        <v>-73.150000000000006</v>
      </c>
      <c r="G123">
        <v>2018</v>
      </c>
      <c r="H123" t="s">
        <v>16</v>
      </c>
      <c r="I123">
        <v>1431.62906636412</v>
      </c>
      <c r="J123">
        <v>7545.0703052098997</v>
      </c>
      <c r="K123">
        <v>-6229.4446009742996</v>
      </c>
      <c r="L123">
        <v>1065.63066105602</v>
      </c>
      <c r="M123">
        <v>11230.828928365299</v>
      </c>
    </row>
    <row r="124" spans="1:13" x14ac:dyDescent="0.3">
      <c r="A124" t="s">
        <v>42</v>
      </c>
      <c r="B124" t="s">
        <v>43</v>
      </c>
      <c r="C124" t="s">
        <v>44</v>
      </c>
      <c r="D124">
        <v>1652</v>
      </c>
      <c r="E124">
        <v>44.47</v>
      </c>
      <c r="F124">
        <v>-73.150000000000006</v>
      </c>
      <c r="G124">
        <v>2019</v>
      </c>
      <c r="H124" t="s">
        <v>15</v>
      </c>
      <c r="I124">
        <v>1486.93389721891</v>
      </c>
      <c r="J124">
        <v>7791.1816478707697</v>
      </c>
      <c r="K124">
        <v>-5599.0612298761498</v>
      </c>
      <c r="L124">
        <v>998.40166721840501</v>
      </c>
      <c r="M124">
        <v>11180.767896023501</v>
      </c>
    </row>
    <row r="125" spans="1:13" hidden="1" x14ac:dyDescent="0.3">
      <c r="A125" t="s">
        <v>42</v>
      </c>
      <c r="B125" t="s">
        <v>43</v>
      </c>
      <c r="C125" t="s">
        <v>44</v>
      </c>
      <c r="D125">
        <v>1652</v>
      </c>
      <c r="E125">
        <v>44.47</v>
      </c>
      <c r="F125">
        <v>-73.150000000000006</v>
      </c>
      <c r="G125">
        <v>2019</v>
      </c>
      <c r="H125" t="s">
        <v>16</v>
      </c>
      <c r="I125">
        <v>1472.9920104165601</v>
      </c>
      <c r="J125">
        <v>7718.5602043873496</v>
      </c>
      <c r="K125">
        <v>-5765.7112541892102</v>
      </c>
      <c r="L125">
        <v>1012.34355402075</v>
      </c>
      <c r="M125">
        <v>11180.767896023501</v>
      </c>
    </row>
    <row r="126" spans="1:13" x14ac:dyDescent="0.3">
      <c r="A126" t="s">
        <v>42</v>
      </c>
      <c r="B126" t="s">
        <v>43</v>
      </c>
      <c r="C126" t="s">
        <v>44</v>
      </c>
      <c r="D126">
        <v>1652</v>
      </c>
      <c r="E126">
        <v>44.47</v>
      </c>
      <c r="F126">
        <v>-73.150000000000006</v>
      </c>
      <c r="G126">
        <v>2020</v>
      </c>
      <c r="H126" t="s">
        <v>15</v>
      </c>
      <c r="I126">
        <v>1488.5083746308301</v>
      </c>
      <c r="J126">
        <v>7791.1816478707697</v>
      </c>
      <c r="K126">
        <v>-5584.4413316637401</v>
      </c>
      <c r="L126">
        <v>980.19157664501199</v>
      </c>
      <c r="M126">
        <v>11078.54061315</v>
      </c>
    </row>
    <row r="127" spans="1:13" hidden="1" x14ac:dyDescent="0.3">
      <c r="A127" t="s">
        <v>42</v>
      </c>
      <c r="B127" t="s">
        <v>43</v>
      </c>
      <c r="C127" t="s">
        <v>44</v>
      </c>
      <c r="D127">
        <v>1652</v>
      </c>
      <c r="E127">
        <v>44.47</v>
      </c>
      <c r="F127">
        <v>-73.150000000000006</v>
      </c>
      <c r="G127">
        <v>2020</v>
      </c>
      <c r="H127" t="s">
        <v>16</v>
      </c>
      <c r="I127">
        <v>1445.00209009591</v>
      </c>
      <c r="J127">
        <v>7556.4483592126799</v>
      </c>
      <c r="K127">
        <v>-6074.7067329285501</v>
      </c>
      <c r="L127">
        <v>1023.69786117994</v>
      </c>
      <c r="M127">
        <v>11078.54061315</v>
      </c>
    </row>
    <row r="128" spans="1:13" x14ac:dyDescent="0.3">
      <c r="A128" t="s">
        <v>42</v>
      </c>
      <c r="B128" t="s">
        <v>43</v>
      </c>
      <c r="C128" t="s">
        <v>44</v>
      </c>
      <c r="D128">
        <v>1652</v>
      </c>
      <c r="E128">
        <v>44.47</v>
      </c>
      <c r="F128">
        <v>-73.150000000000006</v>
      </c>
      <c r="G128">
        <v>2021</v>
      </c>
      <c r="H128" t="s">
        <v>15</v>
      </c>
      <c r="I128">
        <v>1488.60536743788</v>
      </c>
      <c r="J128">
        <v>7791.1816478707697</v>
      </c>
      <c r="K128">
        <v>-5581.0096799932098</v>
      </c>
      <c r="L128">
        <v>981.95677386031298</v>
      </c>
      <c r="M128">
        <v>11087.8915680175</v>
      </c>
    </row>
    <row r="129" spans="1:13" hidden="1" x14ac:dyDescent="0.3">
      <c r="A129" t="s">
        <v>42</v>
      </c>
      <c r="B129" t="s">
        <v>43</v>
      </c>
      <c r="C129" t="s">
        <v>44</v>
      </c>
      <c r="D129">
        <v>1652</v>
      </c>
      <c r="E129">
        <v>44.47</v>
      </c>
      <c r="F129">
        <v>-73.150000000000006</v>
      </c>
      <c r="G129">
        <v>2021</v>
      </c>
      <c r="H129" t="s">
        <v>16</v>
      </c>
      <c r="I129">
        <v>1462.7896313410899</v>
      </c>
      <c r="J129">
        <v>7588.4673594527303</v>
      </c>
      <c r="K129">
        <v>-5912.8829362250199</v>
      </c>
      <c r="L129">
        <v>1007.7725099571001</v>
      </c>
      <c r="M129">
        <v>11087.8915680175</v>
      </c>
    </row>
    <row r="130" spans="1:13" x14ac:dyDescent="0.3">
      <c r="A130" t="s">
        <v>42</v>
      </c>
      <c r="B130" t="s">
        <v>43</v>
      </c>
      <c r="C130" t="s">
        <v>44</v>
      </c>
      <c r="D130">
        <v>1652</v>
      </c>
      <c r="E130">
        <v>44.47</v>
      </c>
      <c r="F130">
        <v>-73.150000000000006</v>
      </c>
      <c r="G130">
        <v>2022</v>
      </c>
      <c r="H130" t="s">
        <v>15</v>
      </c>
      <c r="I130">
        <v>1488.38773641686</v>
      </c>
      <c r="J130">
        <v>7791.1816478707697</v>
      </c>
      <c r="K130">
        <v>-5586.6660194533097</v>
      </c>
      <c r="L130">
        <v>992.94203300443496</v>
      </c>
      <c r="M130">
        <v>11140.0472819059</v>
      </c>
    </row>
    <row r="131" spans="1:13" hidden="1" x14ac:dyDescent="0.3">
      <c r="A131" t="s">
        <v>42</v>
      </c>
      <c r="B131" t="s">
        <v>43</v>
      </c>
      <c r="C131" t="s">
        <v>44</v>
      </c>
      <c r="D131">
        <v>1652</v>
      </c>
      <c r="E131">
        <v>44.47</v>
      </c>
      <c r="F131">
        <v>-73.150000000000006</v>
      </c>
      <c r="G131">
        <v>2022</v>
      </c>
      <c r="H131" t="s">
        <v>16</v>
      </c>
      <c r="I131">
        <v>1502.77109080744</v>
      </c>
      <c r="J131">
        <v>7848.7365340635297</v>
      </c>
      <c r="K131">
        <v>-5424.68827631357</v>
      </c>
      <c r="L131">
        <v>978.55867861385002</v>
      </c>
      <c r="M131">
        <v>11140.0472819059</v>
      </c>
    </row>
    <row r="132" spans="1:13" x14ac:dyDescent="0.3">
      <c r="A132" t="s">
        <v>42</v>
      </c>
      <c r="B132" t="s">
        <v>43</v>
      </c>
      <c r="C132" t="s">
        <v>44</v>
      </c>
      <c r="D132">
        <v>1652</v>
      </c>
      <c r="E132">
        <v>44.47</v>
      </c>
      <c r="F132">
        <v>-73.150000000000006</v>
      </c>
      <c r="G132">
        <v>2023</v>
      </c>
      <c r="H132" t="s">
        <v>15</v>
      </c>
      <c r="I132">
        <v>1486.8154623283201</v>
      </c>
      <c r="J132">
        <v>7791.1816478707697</v>
      </c>
      <c r="K132">
        <v>-5598.8988970296004</v>
      </c>
      <c r="L132">
        <v>978.39476964303799</v>
      </c>
      <c r="M132">
        <v>11053.551265272499</v>
      </c>
    </row>
    <row r="133" spans="1:13" hidden="1" x14ac:dyDescent="0.3">
      <c r="A133" t="s">
        <v>42</v>
      </c>
      <c r="B133" t="s">
        <v>43</v>
      </c>
      <c r="C133" t="s">
        <v>44</v>
      </c>
      <c r="D133">
        <v>1652</v>
      </c>
      <c r="E133">
        <v>44.47</v>
      </c>
      <c r="F133">
        <v>-73.150000000000006</v>
      </c>
      <c r="G133">
        <v>2023</v>
      </c>
      <c r="H133" t="s">
        <v>16</v>
      </c>
      <c r="I133">
        <v>1324.1769493174299</v>
      </c>
      <c r="J133">
        <v>6978.2580819581699</v>
      </c>
      <c r="K133">
        <v>-7482.6299627153103</v>
      </c>
      <c r="L133">
        <v>1141.03328265392</v>
      </c>
      <c r="M133">
        <v>11053.551265272499</v>
      </c>
    </row>
    <row r="134" spans="1:13" x14ac:dyDescent="0.3">
      <c r="A134" t="s">
        <v>45</v>
      </c>
      <c r="B134" t="s">
        <v>46</v>
      </c>
      <c r="C134" t="s">
        <v>47</v>
      </c>
      <c r="D134">
        <v>467842</v>
      </c>
      <c r="E134">
        <v>42.95</v>
      </c>
      <c r="F134">
        <v>-87.9</v>
      </c>
      <c r="G134">
        <v>2018</v>
      </c>
      <c r="H134" t="s">
        <v>15</v>
      </c>
      <c r="I134">
        <v>1385.8659492100501</v>
      </c>
      <c r="J134">
        <v>8292.5516027999292</v>
      </c>
      <c r="K134">
        <v>-6627.7825310191902</v>
      </c>
      <c r="L134">
        <v>470.89857277540199</v>
      </c>
      <c r="M134">
        <v>10793.2600243298</v>
      </c>
    </row>
    <row r="135" spans="1:13" hidden="1" x14ac:dyDescent="0.3">
      <c r="A135" t="s">
        <v>45</v>
      </c>
      <c r="B135" t="s">
        <v>46</v>
      </c>
      <c r="C135" t="s">
        <v>47</v>
      </c>
      <c r="D135">
        <v>467842</v>
      </c>
      <c r="E135">
        <v>42.95</v>
      </c>
      <c r="F135">
        <v>-87.9</v>
      </c>
      <c r="G135">
        <v>2018</v>
      </c>
      <c r="H135" t="s">
        <v>16</v>
      </c>
      <c r="I135">
        <v>1382.8096228775601</v>
      </c>
      <c r="J135">
        <v>8261.60328840681</v>
      </c>
      <c r="K135">
        <v>-6683.6839815721596</v>
      </c>
      <c r="L135">
        <v>473.95489910790002</v>
      </c>
      <c r="M135">
        <v>10793.2600243298</v>
      </c>
    </row>
    <row r="136" spans="1:13" x14ac:dyDescent="0.3">
      <c r="A136" t="s">
        <v>45</v>
      </c>
      <c r="B136" t="s">
        <v>46</v>
      </c>
      <c r="C136" t="s">
        <v>47</v>
      </c>
      <c r="D136">
        <v>467842</v>
      </c>
      <c r="E136">
        <v>42.95</v>
      </c>
      <c r="F136">
        <v>-87.9</v>
      </c>
      <c r="G136">
        <v>2019</v>
      </c>
      <c r="H136" t="s">
        <v>15</v>
      </c>
      <c r="I136">
        <v>1353.6898101679101</v>
      </c>
      <c r="J136">
        <v>8292.5516027999292</v>
      </c>
      <c r="K136">
        <v>-7012.8697362058401</v>
      </c>
      <c r="L136">
        <v>434.27364629996799</v>
      </c>
      <c r="M136">
        <v>10393.3235858157</v>
      </c>
    </row>
    <row r="137" spans="1:13" hidden="1" x14ac:dyDescent="0.3">
      <c r="A137" t="s">
        <v>45</v>
      </c>
      <c r="B137" t="s">
        <v>46</v>
      </c>
      <c r="C137" t="s">
        <v>47</v>
      </c>
      <c r="D137">
        <v>467842</v>
      </c>
      <c r="E137">
        <v>42.95</v>
      </c>
      <c r="F137">
        <v>-87.9</v>
      </c>
      <c r="G137">
        <v>2019</v>
      </c>
      <c r="H137" t="s">
        <v>16</v>
      </c>
      <c r="I137">
        <v>1325.22770193879</v>
      </c>
      <c r="J137">
        <v>7831.3854285038597</v>
      </c>
      <c r="K137">
        <v>-7391.2121302025198</v>
      </c>
      <c r="L137">
        <v>462.73575452909199</v>
      </c>
      <c r="M137">
        <v>10393.3235858157</v>
      </c>
    </row>
    <row r="138" spans="1:13" x14ac:dyDescent="0.3">
      <c r="A138" t="s">
        <v>45</v>
      </c>
      <c r="B138" t="s">
        <v>46</v>
      </c>
      <c r="C138" t="s">
        <v>47</v>
      </c>
      <c r="D138">
        <v>467842</v>
      </c>
      <c r="E138">
        <v>42.95</v>
      </c>
      <c r="F138">
        <v>-87.9</v>
      </c>
      <c r="G138">
        <v>2020</v>
      </c>
      <c r="H138" t="s">
        <v>15</v>
      </c>
      <c r="I138">
        <v>1382.4900006483001</v>
      </c>
      <c r="J138">
        <v>8292.5516027999292</v>
      </c>
      <c r="K138">
        <v>-6695.5166263806796</v>
      </c>
      <c r="L138">
        <v>448.06202665288703</v>
      </c>
      <c r="M138">
        <v>10640.8883758716</v>
      </c>
    </row>
    <row r="139" spans="1:13" hidden="1" x14ac:dyDescent="0.3">
      <c r="A139" t="s">
        <v>45</v>
      </c>
      <c r="B139" t="s">
        <v>46</v>
      </c>
      <c r="C139" t="s">
        <v>47</v>
      </c>
      <c r="D139">
        <v>467842</v>
      </c>
      <c r="E139">
        <v>42.95</v>
      </c>
      <c r="F139">
        <v>-87.9</v>
      </c>
      <c r="G139">
        <v>2020</v>
      </c>
      <c r="H139" t="s">
        <v>16</v>
      </c>
      <c r="I139">
        <v>1381.2887357111699</v>
      </c>
      <c r="J139">
        <v>8311.2323929285394</v>
      </c>
      <c r="K139">
        <v>-6687.6551099185299</v>
      </c>
      <c r="L139">
        <v>449.26329159001398</v>
      </c>
      <c r="M139">
        <v>10640.8883758716</v>
      </c>
    </row>
    <row r="140" spans="1:13" x14ac:dyDescent="0.3">
      <c r="A140" t="s">
        <v>45</v>
      </c>
      <c r="B140" t="s">
        <v>46</v>
      </c>
      <c r="C140" t="s">
        <v>47</v>
      </c>
      <c r="D140">
        <v>467842</v>
      </c>
      <c r="E140">
        <v>42.95</v>
      </c>
      <c r="F140">
        <v>-87.9</v>
      </c>
      <c r="G140">
        <v>2021</v>
      </c>
      <c r="H140" t="s">
        <v>15</v>
      </c>
      <c r="I140">
        <v>1388.46197105182</v>
      </c>
      <c r="J140">
        <v>8292.5516027999292</v>
      </c>
      <c r="K140">
        <v>-6663.6672451293898</v>
      </c>
      <c r="L140">
        <v>494.03541276770801</v>
      </c>
      <c r="M140">
        <v>10942.843595998</v>
      </c>
    </row>
    <row r="141" spans="1:13" hidden="1" x14ac:dyDescent="0.3">
      <c r="A141" t="s">
        <v>45</v>
      </c>
      <c r="B141" t="s">
        <v>46</v>
      </c>
      <c r="C141" t="s">
        <v>47</v>
      </c>
      <c r="D141">
        <v>467842</v>
      </c>
      <c r="E141">
        <v>42.95</v>
      </c>
      <c r="F141">
        <v>-87.9</v>
      </c>
      <c r="G141">
        <v>2021</v>
      </c>
      <c r="H141" t="s">
        <v>16</v>
      </c>
      <c r="I141">
        <v>1409.68444865829</v>
      </c>
      <c r="J141">
        <v>8448.4239579038695</v>
      </c>
      <c r="K141">
        <v>-6392.6994987997105</v>
      </c>
      <c r="L141">
        <v>472.81293516123998</v>
      </c>
      <c r="M141">
        <v>10942.843595998</v>
      </c>
    </row>
    <row r="142" spans="1:13" x14ac:dyDescent="0.3">
      <c r="A142" t="s">
        <v>45</v>
      </c>
      <c r="B142" t="s">
        <v>46</v>
      </c>
      <c r="C142" t="s">
        <v>47</v>
      </c>
      <c r="D142">
        <v>467842</v>
      </c>
      <c r="E142">
        <v>42.95</v>
      </c>
      <c r="F142">
        <v>-87.9</v>
      </c>
      <c r="G142">
        <v>2022</v>
      </c>
      <c r="H142" t="s">
        <v>15</v>
      </c>
      <c r="I142">
        <v>1389.3924131060601</v>
      </c>
      <c r="J142">
        <v>8292.5516027999292</v>
      </c>
      <c r="K142">
        <v>-6623.4908371769598</v>
      </c>
      <c r="L142">
        <v>464.97267208262099</v>
      </c>
      <c r="M142">
        <v>10779.3122431476</v>
      </c>
    </row>
    <row r="143" spans="1:13" hidden="1" x14ac:dyDescent="0.3">
      <c r="A143" t="s">
        <v>45</v>
      </c>
      <c r="B143" t="s">
        <v>46</v>
      </c>
      <c r="C143" t="s">
        <v>47</v>
      </c>
      <c r="D143">
        <v>467842</v>
      </c>
      <c r="E143">
        <v>42.95</v>
      </c>
      <c r="F143">
        <v>-87.9</v>
      </c>
      <c r="G143">
        <v>2022</v>
      </c>
      <c r="H143" t="s">
        <v>16</v>
      </c>
      <c r="I143">
        <v>1361.79495169445</v>
      </c>
      <c r="J143">
        <v>7999.7489631912404</v>
      </c>
      <c r="K143">
        <v>-6975.4757171176598</v>
      </c>
      <c r="L143">
        <v>492.57013349423801</v>
      </c>
      <c r="M143">
        <v>10779.3122431476</v>
      </c>
    </row>
    <row r="144" spans="1:13" x14ac:dyDescent="0.3">
      <c r="A144" t="s">
        <v>45</v>
      </c>
      <c r="B144" t="s">
        <v>46</v>
      </c>
      <c r="C144" t="s">
        <v>47</v>
      </c>
      <c r="D144">
        <v>467842</v>
      </c>
      <c r="E144">
        <v>42.95</v>
      </c>
      <c r="F144">
        <v>-87.9</v>
      </c>
      <c r="G144">
        <v>2023</v>
      </c>
      <c r="H144" t="s">
        <v>15</v>
      </c>
      <c r="I144">
        <v>1386.60471295208</v>
      </c>
      <c r="J144">
        <v>8292.5516027999292</v>
      </c>
      <c r="K144">
        <v>-6640.1920526287304</v>
      </c>
      <c r="L144">
        <v>456.62830144879001</v>
      </c>
      <c r="M144">
        <v>10714.602187995501</v>
      </c>
    </row>
    <row r="145" spans="1:13" hidden="1" x14ac:dyDescent="0.3">
      <c r="A145" t="s">
        <v>45</v>
      </c>
      <c r="B145" t="s">
        <v>46</v>
      </c>
      <c r="C145" t="s">
        <v>47</v>
      </c>
      <c r="D145">
        <v>467842</v>
      </c>
      <c r="E145">
        <v>42.95</v>
      </c>
      <c r="F145">
        <v>-87.9</v>
      </c>
      <c r="G145">
        <v>2023</v>
      </c>
      <c r="H145" t="s">
        <v>16</v>
      </c>
      <c r="I145">
        <v>1353.03356227319</v>
      </c>
      <c r="J145">
        <v>8143.4266222157603</v>
      </c>
      <c r="K145">
        <v>-7035.7195729956902</v>
      </c>
      <c r="L145">
        <v>490.19945212767402</v>
      </c>
      <c r="M145">
        <v>10714.602187995501</v>
      </c>
    </row>
  </sheetData>
  <autoFilter ref="A1:M145" xr:uid="{D45DBC62-7069-4F2F-AEB4-5D3584EF2EDD}">
    <filterColumn colId="7">
      <filters>
        <filter val="tmy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9702-6BCD-41F8-948D-8450F884A824}">
  <dimension ref="A1:M145"/>
  <sheetViews>
    <sheetView topLeftCell="A4" workbookViewId="0">
      <selection activeCell="K144" sqref="K14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</v>
      </c>
    </row>
    <row r="2" spans="1:13" x14ac:dyDescent="0.3">
      <c r="A2" t="s">
        <v>12</v>
      </c>
      <c r="B2" t="s">
        <v>13</v>
      </c>
      <c r="C2" t="s">
        <v>14</v>
      </c>
      <c r="D2">
        <v>46496</v>
      </c>
      <c r="E2">
        <v>33.56</v>
      </c>
      <c r="F2">
        <v>-86.75</v>
      </c>
      <c r="G2">
        <v>2018</v>
      </c>
      <c r="H2" t="s">
        <v>15</v>
      </c>
      <c r="I2">
        <v>994.1743596</v>
      </c>
      <c r="J2">
        <v>8893.0535330000002</v>
      </c>
      <c r="K2">
        <v>-11318.08128</v>
      </c>
      <c r="L2">
        <v>914.0511262</v>
      </c>
      <c r="M2">
        <v>11472.6949</v>
      </c>
    </row>
    <row r="3" spans="1:13" x14ac:dyDescent="0.3">
      <c r="A3" t="s">
        <v>12</v>
      </c>
      <c r="B3" t="s">
        <v>13</v>
      </c>
      <c r="C3" t="s">
        <v>14</v>
      </c>
      <c r="D3">
        <v>46496</v>
      </c>
      <c r="E3">
        <v>33.56</v>
      </c>
      <c r="F3">
        <v>-86.75</v>
      </c>
      <c r="G3">
        <v>2018</v>
      </c>
      <c r="H3" t="s">
        <v>16</v>
      </c>
      <c r="I3">
        <v>978.21771550000005</v>
      </c>
      <c r="J3">
        <v>8488.8643420000008</v>
      </c>
      <c r="K3">
        <v>-11468.075440000001</v>
      </c>
      <c r="L3">
        <v>930.00777029999995</v>
      </c>
      <c r="M3">
        <v>11472.6949</v>
      </c>
    </row>
    <row r="4" spans="1:13" x14ac:dyDescent="0.3">
      <c r="A4" t="s">
        <v>12</v>
      </c>
      <c r="B4" t="s">
        <v>13</v>
      </c>
      <c r="C4" t="s">
        <v>14</v>
      </c>
      <c r="D4">
        <v>46496</v>
      </c>
      <c r="E4">
        <v>33.56</v>
      </c>
      <c r="F4">
        <v>-86.75</v>
      </c>
      <c r="G4">
        <v>2019</v>
      </c>
      <c r="H4" t="s">
        <v>15</v>
      </c>
      <c r="I4">
        <v>998.44838830000003</v>
      </c>
      <c r="J4">
        <v>8891.4772420000008</v>
      </c>
      <c r="K4">
        <v>-11243.75028</v>
      </c>
      <c r="L4">
        <v>991.91886490000002</v>
      </c>
      <c r="M4">
        <v>11894.363219999999</v>
      </c>
    </row>
    <row r="5" spans="1:13" x14ac:dyDescent="0.3">
      <c r="A5" t="s">
        <v>12</v>
      </c>
      <c r="B5" t="s">
        <v>13</v>
      </c>
      <c r="C5" t="s">
        <v>14</v>
      </c>
      <c r="D5">
        <v>46496</v>
      </c>
      <c r="E5">
        <v>33.56</v>
      </c>
      <c r="F5">
        <v>-86.75</v>
      </c>
      <c r="G5">
        <v>2019</v>
      </c>
      <c r="H5" t="s">
        <v>16</v>
      </c>
      <c r="I5">
        <v>997.14428989999999</v>
      </c>
      <c r="J5">
        <v>8578.6293800000003</v>
      </c>
      <c r="K5">
        <v>-11261.2502</v>
      </c>
      <c r="L5">
        <v>993.22296329999995</v>
      </c>
      <c r="M5">
        <v>11894.363219999999</v>
      </c>
    </row>
    <row r="6" spans="1:13" x14ac:dyDescent="0.3">
      <c r="A6" t="s">
        <v>12</v>
      </c>
      <c r="B6" t="s">
        <v>13</v>
      </c>
      <c r="C6" t="s">
        <v>14</v>
      </c>
      <c r="D6">
        <v>46496</v>
      </c>
      <c r="E6">
        <v>33.56</v>
      </c>
      <c r="F6">
        <v>-86.75</v>
      </c>
      <c r="G6">
        <v>2020</v>
      </c>
      <c r="H6" t="s">
        <v>15</v>
      </c>
      <c r="I6">
        <v>979.2576914</v>
      </c>
      <c r="J6">
        <v>8879.8947310000003</v>
      </c>
      <c r="K6">
        <v>-11508.34834</v>
      </c>
      <c r="L6">
        <v>751.92794649999996</v>
      </c>
      <c r="M6">
        <v>10144.622380000001</v>
      </c>
    </row>
    <row r="7" spans="1:13" x14ac:dyDescent="0.3">
      <c r="A7" t="s">
        <v>12</v>
      </c>
      <c r="B7" t="s">
        <v>13</v>
      </c>
      <c r="C7" t="s">
        <v>14</v>
      </c>
      <c r="D7">
        <v>46496</v>
      </c>
      <c r="E7">
        <v>33.56</v>
      </c>
      <c r="F7">
        <v>-86.75</v>
      </c>
      <c r="G7">
        <v>2020</v>
      </c>
      <c r="H7" t="s">
        <v>16</v>
      </c>
      <c r="I7">
        <v>973.85643259999995</v>
      </c>
      <c r="J7">
        <v>8483.8301570000003</v>
      </c>
      <c r="K7">
        <v>-11554.03692</v>
      </c>
      <c r="L7">
        <v>757.32920530000001</v>
      </c>
      <c r="M7">
        <v>10144.622380000001</v>
      </c>
    </row>
    <row r="8" spans="1:13" x14ac:dyDescent="0.3">
      <c r="A8" t="s">
        <v>12</v>
      </c>
      <c r="B8" t="s">
        <v>13</v>
      </c>
      <c r="C8" t="s">
        <v>14</v>
      </c>
      <c r="D8">
        <v>46496</v>
      </c>
      <c r="E8">
        <v>33.56</v>
      </c>
      <c r="F8">
        <v>-86.75</v>
      </c>
      <c r="G8">
        <v>2021</v>
      </c>
      <c r="H8" t="s">
        <v>15</v>
      </c>
      <c r="I8">
        <v>993.54796150000004</v>
      </c>
      <c r="J8">
        <v>8867.8620190000001</v>
      </c>
      <c r="K8">
        <v>-11374.96983</v>
      </c>
      <c r="L8">
        <v>614.94358020000004</v>
      </c>
      <c r="M8">
        <v>9454.1004400000002</v>
      </c>
    </row>
    <row r="9" spans="1:13" x14ac:dyDescent="0.3">
      <c r="A9" t="s">
        <v>12</v>
      </c>
      <c r="B9" t="s">
        <v>13</v>
      </c>
      <c r="C9" t="s">
        <v>14</v>
      </c>
      <c r="D9">
        <v>46496</v>
      </c>
      <c r="E9">
        <v>33.56</v>
      </c>
      <c r="F9">
        <v>-86.75</v>
      </c>
      <c r="G9">
        <v>2021</v>
      </c>
      <c r="H9" t="s">
        <v>16</v>
      </c>
      <c r="I9">
        <v>980.78651890000003</v>
      </c>
      <c r="J9">
        <v>8679.9579049999993</v>
      </c>
      <c r="K9">
        <v>-11505.939920000001</v>
      </c>
      <c r="L9">
        <v>627.70502280000005</v>
      </c>
      <c r="M9">
        <v>9454.1004400000002</v>
      </c>
    </row>
    <row r="10" spans="1:13" x14ac:dyDescent="0.3">
      <c r="A10" t="s">
        <v>12</v>
      </c>
      <c r="B10" t="s">
        <v>13</v>
      </c>
      <c r="C10" t="s">
        <v>14</v>
      </c>
      <c r="D10">
        <v>46496</v>
      </c>
      <c r="E10">
        <v>33.56</v>
      </c>
      <c r="F10">
        <v>-86.75</v>
      </c>
      <c r="G10">
        <v>2022</v>
      </c>
      <c r="H10" t="s">
        <v>15</v>
      </c>
      <c r="I10">
        <v>1009.884715</v>
      </c>
      <c r="J10">
        <v>8884.3898850000005</v>
      </c>
      <c r="K10">
        <v>-11131.13053</v>
      </c>
      <c r="L10">
        <v>875.04146830000002</v>
      </c>
      <c r="M10">
        <v>11166.91669</v>
      </c>
    </row>
    <row r="11" spans="1:13" x14ac:dyDescent="0.3">
      <c r="A11" t="s">
        <v>12</v>
      </c>
      <c r="B11" t="s">
        <v>13</v>
      </c>
      <c r="C11" t="s">
        <v>14</v>
      </c>
      <c r="D11">
        <v>46496</v>
      </c>
      <c r="E11">
        <v>33.56</v>
      </c>
      <c r="F11">
        <v>-86.75</v>
      </c>
      <c r="G11">
        <v>2022</v>
      </c>
      <c r="H11" t="s">
        <v>16</v>
      </c>
      <c r="I11">
        <v>1054.4249159999999</v>
      </c>
      <c r="J11">
        <v>9365.9185010000001</v>
      </c>
      <c r="K11">
        <v>-10628.54285</v>
      </c>
      <c r="L11">
        <v>830.50126690000002</v>
      </c>
      <c r="M11">
        <v>11166.91669</v>
      </c>
    </row>
    <row r="12" spans="1:13" x14ac:dyDescent="0.3">
      <c r="A12" t="s">
        <v>12</v>
      </c>
      <c r="B12" t="s">
        <v>13</v>
      </c>
      <c r="C12" t="s">
        <v>14</v>
      </c>
      <c r="D12">
        <v>46496</v>
      </c>
      <c r="E12">
        <v>33.56</v>
      </c>
      <c r="F12">
        <v>-86.75</v>
      </c>
      <c r="G12">
        <v>2023</v>
      </c>
      <c r="H12" t="s">
        <v>15</v>
      </c>
      <c r="I12">
        <v>1003.416236</v>
      </c>
      <c r="J12">
        <v>8879.5457630000001</v>
      </c>
      <c r="K12">
        <v>-11225.35785</v>
      </c>
      <c r="L12">
        <v>845.12724749999995</v>
      </c>
      <c r="M12">
        <v>10870.75928</v>
      </c>
    </row>
    <row r="13" spans="1:13" x14ac:dyDescent="0.3">
      <c r="A13" t="s">
        <v>12</v>
      </c>
      <c r="B13" t="s">
        <v>13</v>
      </c>
      <c r="C13" t="s">
        <v>14</v>
      </c>
      <c r="D13">
        <v>46496</v>
      </c>
      <c r="E13">
        <v>33.56</v>
      </c>
      <c r="F13">
        <v>-86.75</v>
      </c>
      <c r="G13">
        <v>2023</v>
      </c>
      <c r="H13" t="s">
        <v>16</v>
      </c>
      <c r="I13">
        <v>1048.876017</v>
      </c>
      <c r="J13">
        <v>9082.9752750000007</v>
      </c>
      <c r="K13">
        <v>-10712.161480000001</v>
      </c>
      <c r="L13">
        <v>799.66746690000002</v>
      </c>
      <c r="M13">
        <v>10870.75928</v>
      </c>
    </row>
    <row r="14" spans="1:13" x14ac:dyDescent="0.3">
      <c r="A14" t="s">
        <v>17</v>
      </c>
      <c r="B14" t="s">
        <v>18</v>
      </c>
      <c r="C14" t="s">
        <v>19</v>
      </c>
      <c r="D14">
        <v>112157</v>
      </c>
      <c r="E14">
        <v>35.14</v>
      </c>
      <c r="F14">
        <v>-111.67</v>
      </c>
      <c r="G14">
        <v>2018</v>
      </c>
      <c r="H14" t="s">
        <v>15</v>
      </c>
      <c r="I14">
        <v>1117.0270109999999</v>
      </c>
      <c r="J14">
        <v>11105.11247</v>
      </c>
      <c r="K14">
        <v>-10219.15719</v>
      </c>
      <c r="L14">
        <v>513.83767420000004</v>
      </c>
      <c r="M14">
        <v>12406.596659999999</v>
      </c>
    </row>
    <row r="15" spans="1:13" x14ac:dyDescent="0.3">
      <c r="A15" t="s">
        <v>17</v>
      </c>
      <c r="B15" t="s">
        <v>18</v>
      </c>
      <c r="C15" t="s">
        <v>19</v>
      </c>
      <c r="D15">
        <v>112157</v>
      </c>
      <c r="E15">
        <v>35.14</v>
      </c>
      <c r="F15">
        <v>-111.67</v>
      </c>
      <c r="G15">
        <v>2018</v>
      </c>
      <c r="H15" t="s">
        <v>16</v>
      </c>
      <c r="I15">
        <v>1256.1124569999999</v>
      </c>
      <c r="J15">
        <v>11082.09548</v>
      </c>
      <c r="K15">
        <v>-9097.1037520000009</v>
      </c>
      <c r="L15">
        <v>374.75222810000002</v>
      </c>
      <c r="M15">
        <v>12406.596659999999</v>
      </c>
    </row>
    <row r="16" spans="1:13" x14ac:dyDescent="0.3">
      <c r="A16" t="s">
        <v>17</v>
      </c>
      <c r="B16" t="s">
        <v>18</v>
      </c>
      <c r="C16" t="s">
        <v>19</v>
      </c>
      <c r="D16">
        <v>112157</v>
      </c>
      <c r="E16">
        <v>35.14</v>
      </c>
      <c r="F16">
        <v>-111.67</v>
      </c>
      <c r="G16">
        <v>2019</v>
      </c>
      <c r="H16" t="s">
        <v>15</v>
      </c>
      <c r="I16">
        <v>1187.0812089999999</v>
      </c>
      <c r="J16">
        <v>11102.456829999999</v>
      </c>
      <c r="K16">
        <v>-9470.8297399999992</v>
      </c>
      <c r="L16">
        <v>399.30177270000001</v>
      </c>
      <c r="M16">
        <v>12209.28779</v>
      </c>
    </row>
    <row r="17" spans="1:13" x14ac:dyDescent="0.3">
      <c r="A17" t="s">
        <v>17</v>
      </c>
      <c r="B17" t="s">
        <v>18</v>
      </c>
      <c r="C17" t="s">
        <v>19</v>
      </c>
      <c r="D17">
        <v>112157</v>
      </c>
      <c r="E17">
        <v>35.14</v>
      </c>
      <c r="F17">
        <v>-111.67</v>
      </c>
      <c r="G17">
        <v>2019</v>
      </c>
      <c r="H17" t="s">
        <v>16</v>
      </c>
      <c r="I17">
        <v>1243.497846</v>
      </c>
      <c r="J17">
        <v>11101.72344</v>
      </c>
      <c r="K17">
        <v>-9053.7228930000001</v>
      </c>
      <c r="L17">
        <v>342.88513549999999</v>
      </c>
      <c r="M17">
        <v>12209.28779</v>
      </c>
    </row>
    <row r="18" spans="1:13" x14ac:dyDescent="0.3">
      <c r="A18" t="s">
        <v>17</v>
      </c>
      <c r="B18" t="s">
        <v>18</v>
      </c>
      <c r="C18" t="s">
        <v>19</v>
      </c>
      <c r="D18">
        <v>112157</v>
      </c>
      <c r="E18">
        <v>35.14</v>
      </c>
      <c r="F18">
        <v>-111.67</v>
      </c>
      <c r="G18">
        <v>2020</v>
      </c>
      <c r="H18" t="s">
        <v>15</v>
      </c>
      <c r="I18">
        <v>1089.0507660000001</v>
      </c>
      <c r="J18">
        <v>11104.219789999999</v>
      </c>
      <c r="K18">
        <v>-10361.011710000001</v>
      </c>
      <c r="L18">
        <v>627.88452540000003</v>
      </c>
      <c r="M18">
        <v>13006.74857</v>
      </c>
    </row>
    <row r="19" spans="1:13" x14ac:dyDescent="0.3">
      <c r="A19" t="s">
        <v>17</v>
      </c>
      <c r="B19" t="s">
        <v>18</v>
      </c>
      <c r="C19" t="s">
        <v>19</v>
      </c>
      <c r="D19">
        <v>112157</v>
      </c>
      <c r="E19">
        <v>35.14</v>
      </c>
      <c r="F19">
        <v>-111.67</v>
      </c>
      <c r="G19">
        <v>2020</v>
      </c>
      <c r="H19" t="s">
        <v>16</v>
      </c>
      <c r="I19">
        <v>1257.998938</v>
      </c>
      <c r="J19">
        <v>11616.97647</v>
      </c>
      <c r="K19">
        <v>-8714.6725499999993</v>
      </c>
      <c r="L19">
        <v>458.93635360000002</v>
      </c>
      <c r="M19">
        <v>13006.74857</v>
      </c>
    </row>
    <row r="20" spans="1:13" x14ac:dyDescent="0.3">
      <c r="A20" t="s">
        <v>17</v>
      </c>
      <c r="B20" t="s">
        <v>18</v>
      </c>
      <c r="C20" t="s">
        <v>19</v>
      </c>
      <c r="D20">
        <v>112157</v>
      </c>
      <c r="E20">
        <v>35.14</v>
      </c>
      <c r="F20">
        <v>-111.67</v>
      </c>
      <c r="G20">
        <v>2021</v>
      </c>
      <c r="H20" t="s">
        <v>15</v>
      </c>
      <c r="I20">
        <v>1202.092629</v>
      </c>
      <c r="J20">
        <v>11102.03608</v>
      </c>
      <c r="K20">
        <v>-9676.8584780000001</v>
      </c>
      <c r="L20">
        <v>441.50392199999999</v>
      </c>
      <c r="M20">
        <v>12416.011560000001</v>
      </c>
    </row>
    <row r="21" spans="1:13" x14ac:dyDescent="0.3">
      <c r="A21" t="s">
        <v>17</v>
      </c>
      <c r="B21" t="s">
        <v>18</v>
      </c>
      <c r="C21" t="s">
        <v>19</v>
      </c>
      <c r="D21">
        <v>112157</v>
      </c>
      <c r="E21">
        <v>35.14</v>
      </c>
      <c r="F21">
        <v>-111.67</v>
      </c>
      <c r="G21">
        <v>2021</v>
      </c>
      <c r="H21" t="s">
        <v>16</v>
      </c>
      <c r="I21">
        <v>1234.8489380000001</v>
      </c>
      <c r="J21">
        <v>11217.73885</v>
      </c>
      <c r="K21">
        <v>-9243.473892</v>
      </c>
      <c r="L21">
        <v>408.74761319999999</v>
      </c>
      <c r="M21">
        <v>12416.011560000001</v>
      </c>
    </row>
    <row r="22" spans="1:13" x14ac:dyDescent="0.3">
      <c r="A22" t="s">
        <v>17</v>
      </c>
      <c r="B22" t="s">
        <v>18</v>
      </c>
      <c r="C22" t="s">
        <v>19</v>
      </c>
      <c r="D22">
        <v>112157</v>
      </c>
      <c r="E22">
        <v>35.14</v>
      </c>
      <c r="F22">
        <v>-111.67</v>
      </c>
      <c r="G22">
        <v>2022</v>
      </c>
      <c r="H22" t="s">
        <v>15</v>
      </c>
      <c r="I22">
        <v>1162.5620510000001</v>
      </c>
      <c r="J22">
        <v>11103.62419</v>
      </c>
      <c r="K22">
        <v>-9640.0710190000009</v>
      </c>
      <c r="L22">
        <v>484.18570820000002</v>
      </c>
      <c r="M22">
        <v>12433.61385</v>
      </c>
    </row>
    <row r="23" spans="1:13" x14ac:dyDescent="0.3">
      <c r="A23" t="s">
        <v>17</v>
      </c>
      <c r="B23" t="s">
        <v>18</v>
      </c>
      <c r="C23" t="s">
        <v>19</v>
      </c>
      <c r="D23">
        <v>112157</v>
      </c>
      <c r="E23">
        <v>35.14</v>
      </c>
      <c r="F23">
        <v>-111.67</v>
      </c>
      <c r="G23">
        <v>2022</v>
      </c>
      <c r="H23" t="s">
        <v>16</v>
      </c>
      <c r="I23">
        <v>1264.5918409999999</v>
      </c>
      <c r="J23">
        <v>11172.113520000001</v>
      </c>
      <c r="K23">
        <v>-8714.8758980000002</v>
      </c>
      <c r="L23">
        <v>382.1559173</v>
      </c>
      <c r="M23">
        <v>12433.61385</v>
      </c>
    </row>
    <row r="24" spans="1:13" x14ac:dyDescent="0.3">
      <c r="A24" t="s">
        <v>17</v>
      </c>
      <c r="B24" t="s">
        <v>18</v>
      </c>
      <c r="C24" t="s">
        <v>19</v>
      </c>
      <c r="D24">
        <v>112157</v>
      </c>
      <c r="E24">
        <v>35.14</v>
      </c>
      <c r="F24">
        <v>-111.67</v>
      </c>
      <c r="G24">
        <v>2023</v>
      </c>
      <c r="H24" t="s">
        <v>15</v>
      </c>
      <c r="I24">
        <v>1129.6572269999999</v>
      </c>
      <c r="J24">
        <v>11106.989100000001</v>
      </c>
      <c r="K24">
        <v>-10045.264160000001</v>
      </c>
      <c r="L24">
        <v>494.47090209999999</v>
      </c>
      <c r="M24">
        <v>12404.025600000001</v>
      </c>
    </row>
    <row r="25" spans="1:13" x14ac:dyDescent="0.3">
      <c r="A25" t="s">
        <v>17</v>
      </c>
      <c r="B25" t="s">
        <v>18</v>
      </c>
      <c r="C25" t="s">
        <v>19</v>
      </c>
      <c r="D25">
        <v>112157</v>
      </c>
      <c r="E25">
        <v>35.14</v>
      </c>
      <c r="F25">
        <v>-111.67</v>
      </c>
      <c r="G25">
        <v>2023</v>
      </c>
      <c r="H25" t="s">
        <v>16</v>
      </c>
      <c r="I25">
        <v>1240.2759329999999</v>
      </c>
      <c r="J25">
        <v>11327.24446</v>
      </c>
      <c r="K25">
        <v>-8819.0250749999996</v>
      </c>
      <c r="L25">
        <v>383.85219699999999</v>
      </c>
      <c r="M25">
        <v>12404.025600000001</v>
      </c>
    </row>
    <row r="26" spans="1:13" x14ac:dyDescent="0.3">
      <c r="A26" t="s">
        <v>20</v>
      </c>
      <c r="B26" t="s">
        <v>21</v>
      </c>
      <c r="C26" t="s">
        <v>22</v>
      </c>
      <c r="D26">
        <v>111549</v>
      </c>
      <c r="E26">
        <v>32.869999999999997</v>
      </c>
      <c r="F26">
        <v>-117.15</v>
      </c>
      <c r="G26">
        <v>2018</v>
      </c>
      <c r="H26" t="s">
        <v>15</v>
      </c>
      <c r="I26">
        <v>3767.4564919999998</v>
      </c>
      <c r="J26">
        <v>11056.182860000001</v>
      </c>
      <c r="K26">
        <v>20598.989659999999</v>
      </c>
      <c r="L26">
        <v>1051.781874</v>
      </c>
      <c r="M26">
        <v>11009.28234</v>
      </c>
    </row>
    <row r="27" spans="1:13" x14ac:dyDescent="0.3">
      <c r="A27" t="s">
        <v>20</v>
      </c>
      <c r="B27" t="s">
        <v>21</v>
      </c>
      <c r="C27" t="s">
        <v>22</v>
      </c>
      <c r="D27">
        <v>111549</v>
      </c>
      <c r="E27">
        <v>32.869999999999997</v>
      </c>
      <c r="F27">
        <v>-117.15</v>
      </c>
      <c r="G27">
        <v>2018</v>
      </c>
      <c r="H27" t="s">
        <v>16</v>
      </c>
      <c r="I27">
        <v>3838.3935849999998</v>
      </c>
      <c r="J27">
        <v>11098.6379</v>
      </c>
      <c r="K27">
        <v>21466.323179999999</v>
      </c>
      <c r="L27">
        <v>980.84478100000001</v>
      </c>
      <c r="M27">
        <v>11009.28234</v>
      </c>
    </row>
    <row r="28" spans="1:13" x14ac:dyDescent="0.3">
      <c r="A28" t="s">
        <v>20</v>
      </c>
      <c r="B28" t="s">
        <v>21</v>
      </c>
      <c r="C28" t="s">
        <v>22</v>
      </c>
      <c r="D28">
        <v>111549</v>
      </c>
      <c r="E28">
        <v>32.869999999999997</v>
      </c>
      <c r="F28">
        <v>-117.15</v>
      </c>
      <c r="G28">
        <v>2019</v>
      </c>
      <c r="H28" t="s">
        <v>15</v>
      </c>
      <c r="I28">
        <v>3638.7501440000001</v>
      </c>
      <c r="J28">
        <v>11059.791289999999</v>
      </c>
      <c r="K28">
        <v>19226.094229999999</v>
      </c>
      <c r="L28">
        <v>921.76330180000002</v>
      </c>
      <c r="M28">
        <v>10456.99979</v>
      </c>
    </row>
    <row r="29" spans="1:13" x14ac:dyDescent="0.3">
      <c r="A29" t="s">
        <v>20</v>
      </c>
      <c r="B29" t="s">
        <v>21</v>
      </c>
      <c r="C29" t="s">
        <v>22</v>
      </c>
      <c r="D29">
        <v>111549</v>
      </c>
      <c r="E29">
        <v>32.869999999999997</v>
      </c>
      <c r="F29">
        <v>-117.15</v>
      </c>
      <c r="G29">
        <v>2019</v>
      </c>
      <c r="H29" t="s">
        <v>16</v>
      </c>
      <c r="I29">
        <v>3743.7680070000001</v>
      </c>
      <c r="J29">
        <v>10984.06777</v>
      </c>
      <c r="K29">
        <v>20359.993729999998</v>
      </c>
      <c r="L29">
        <v>816.74543830000005</v>
      </c>
      <c r="M29">
        <v>10456.99979</v>
      </c>
    </row>
    <row r="30" spans="1:13" x14ac:dyDescent="0.3">
      <c r="A30" t="s">
        <v>20</v>
      </c>
      <c r="B30" t="s">
        <v>21</v>
      </c>
      <c r="C30" t="s">
        <v>22</v>
      </c>
      <c r="D30">
        <v>111549</v>
      </c>
      <c r="E30">
        <v>32.869999999999997</v>
      </c>
      <c r="F30">
        <v>-117.15</v>
      </c>
      <c r="G30">
        <v>2020</v>
      </c>
      <c r="H30" t="s">
        <v>15</v>
      </c>
      <c r="I30">
        <v>3810.938502</v>
      </c>
      <c r="J30">
        <v>11063.221960000001</v>
      </c>
      <c r="K30">
        <v>21062.01168</v>
      </c>
      <c r="L30">
        <v>1234.4917800000001</v>
      </c>
      <c r="M30">
        <v>11535.79214</v>
      </c>
    </row>
    <row r="31" spans="1:13" x14ac:dyDescent="0.3">
      <c r="A31" t="s">
        <v>20</v>
      </c>
      <c r="B31" t="s">
        <v>21</v>
      </c>
      <c r="C31" t="s">
        <v>22</v>
      </c>
      <c r="D31">
        <v>111549</v>
      </c>
      <c r="E31">
        <v>32.869999999999997</v>
      </c>
      <c r="F31">
        <v>-117.15</v>
      </c>
      <c r="G31">
        <v>2020</v>
      </c>
      <c r="H31" t="s">
        <v>16</v>
      </c>
      <c r="I31">
        <v>3972.2484410000002</v>
      </c>
      <c r="J31">
        <v>11375.75504</v>
      </c>
      <c r="K31">
        <v>22947.256979999998</v>
      </c>
      <c r="L31">
        <v>1073.1818410000001</v>
      </c>
      <c r="M31">
        <v>11535.79214</v>
      </c>
    </row>
    <row r="32" spans="1:13" x14ac:dyDescent="0.3">
      <c r="A32" t="s">
        <v>20</v>
      </c>
      <c r="B32" t="s">
        <v>21</v>
      </c>
      <c r="C32" t="s">
        <v>22</v>
      </c>
      <c r="D32">
        <v>111549</v>
      </c>
      <c r="E32">
        <v>32.869999999999997</v>
      </c>
      <c r="F32">
        <v>-117.15</v>
      </c>
      <c r="G32">
        <v>2021</v>
      </c>
      <c r="H32" t="s">
        <v>15</v>
      </c>
      <c r="I32">
        <v>3732.3070429999998</v>
      </c>
      <c r="J32">
        <v>11056.41114</v>
      </c>
      <c r="K32">
        <v>20150.464449999999</v>
      </c>
      <c r="L32">
        <v>962.45306240000002</v>
      </c>
      <c r="M32">
        <v>10765.48288</v>
      </c>
    </row>
    <row r="33" spans="1:13" x14ac:dyDescent="0.3">
      <c r="A33" t="s">
        <v>20</v>
      </c>
      <c r="B33" t="s">
        <v>21</v>
      </c>
      <c r="C33" t="s">
        <v>22</v>
      </c>
      <c r="D33">
        <v>111549</v>
      </c>
      <c r="E33">
        <v>32.869999999999997</v>
      </c>
      <c r="F33">
        <v>-117.15</v>
      </c>
      <c r="G33">
        <v>2021</v>
      </c>
      <c r="H33" t="s">
        <v>16</v>
      </c>
      <c r="I33">
        <v>3790.433106</v>
      </c>
      <c r="J33">
        <v>11055.66467</v>
      </c>
      <c r="K33">
        <v>20887.666499999999</v>
      </c>
      <c r="L33">
        <v>904.32699939999998</v>
      </c>
      <c r="M33">
        <v>10765.48288</v>
      </c>
    </row>
    <row r="34" spans="1:13" x14ac:dyDescent="0.3">
      <c r="A34" t="s">
        <v>20</v>
      </c>
      <c r="B34" t="s">
        <v>21</v>
      </c>
      <c r="C34" t="s">
        <v>22</v>
      </c>
      <c r="D34">
        <v>111549</v>
      </c>
      <c r="E34">
        <v>32.869999999999997</v>
      </c>
      <c r="F34">
        <v>-117.15</v>
      </c>
      <c r="G34">
        <v>2022</v>
      </c>
      <c r="H34" t="s">
        <v>15</v>
      </c>
      <c r="I34">
        <v>3867.316961</v>
      </c>
      <c r="J34">
        <v>11060.31264</v>
      </c>
      <c r="K34">
        <v>21657.15655</v>
      </c>
      <c r="L34">
        <v>1244.560397</v>
      </c>
      <c r="M34">
        <v>11706.92698</v>
      </c>
    </row>
    <row r="35" spans="1:13" x14ac:dyDescent="0.3">
      <c r="A35" t="s">
        <v>20</v>
      </c>
      <c r="B35" t="s">
        <v>21</v>
      </c>
      <c r="C35" t="s">
        <v>22</v>
      </c>
      <c r="D35">
        <v>111549</v>
      </c>
      <c r="E35">
        <v>32.869999999999997</v>
      </c>
      <c r="F35">
        <v>-117.15</v>
      </c>
      <c r="G35">
        <v>2022</v>
      </c>
      <c r="H35" t="s">
        <v>16</v>
      </c>
      <c r="I35">
        <v>3967.3848469999998</v>
      </c>
      <c r="J35">
        <v>11502.585719999999</v>
      </c>
      <c r="K35">
        <v>22869.411380000001</v>
      </c>
      <c r="L35">
        <v>1144.4925109999999</v>
      </c>
      <c r="M35">
        <v>11706.92698</v>
      </c>
    </row>
    <row r="36" spans="1:13" x14ac:dyDescent="0.3">
      <c r="A36" t="s">
        <v>20</v>
      </c>
      <c r="B36" t="s">
        <v>21</v>
      </c>
      <c r="C36" t="s">
        <v>22</v>
      </c>
      <c r="D36">
        <v>111549</v>
      </c>
      <c r="E36">
        <v>32.869999999999997</v>
      </c>
      <c r="F36">
        <v>-117.15</v>
      </c>
      <c r="G36">
        <v>2023</v>
      </c>
      <c r="H36" t="s">
        <v>15</v>
      </c>
      <c r="I36">
        <v>3522.8180280000001</v>
      </c>
      <c r="J36">
        <v>11060.06366</v>
      </c>
      <c r="K36">
        <v>17861.4519</v>
      </c>
      <c r="L36">
        <v>826.71641309999995</v>
      </c>
      <c r="M36">
        <v>9977.3091820000009</v>
      </c>
    </row>
    <row r="37" spans="1:13" x14ac:dyDescent="0.3">
      <c r="A37" t="s">
        <v>20</v>
      </c>
      <c r="B37" t="s">
        <v>21</v>
      </c>
      <c r="C37" t="s">
        <v>22</v>
      </c>
      <c r="D37">
        <v>111549</v>
      </c>
      <c r="E37">
        <v>32.869999999999997</v>
      </c>
      <c r="F37">
        <v>-117.15</v>
      </c>
      <c r="G37">
        <v>2023</v>
      </c>
      <c r="H37" t="s">
        <v>16</v>
      </c>
      <c r="I37">
        <v>3522.217216</v>
      </c>
      <c r="J37">
        <v>10395.14625</v>
      </c>
      <c r="K37">
        <v>17835.495279999999</v>
      </c>
      <c r="L37">
        <v>827.31722509999997</v>
      </c>
      <c r="M37">
        <v>9977.3091820000009</v>
      </c>
    </row>
    <row r="38" spans="1:13" x14ac:dyDescent="0.3">
      <c r="A38" t="s">
        <v>23</v>
      </c>
      <c r="B38" t="s">
        <v>24</v>
      </c>
      <c r="C38" t="s">
        <v>25</v>
      </c>
      <c r="D38">
        <v>126745</v>
      </c>
      <c r="E38">
        <v>39.81</v>
      </c>
      <c r="F38">
        <v>-105.14</v>
      </c>
      <c r="G38">
        <v>2018</v>
      </c>
      <c r="H38" t="s">
        <v>15</v>
      </c>
      <c r="I38">
        <v>1499.631748</v>
      </c>
      <c r="J38">
        <v>9846.6627800000006</v>
      </c>
      <c r="K38">
        <v>-5438.84184</v>
      </c>
      <c r="L38">
        <v>233.37589850000001</v>
      </c>
      <c r="M38">
        <v>11042.226420000001</v>
      </c>
    </row>
    <row r="39" spans="1:13" x14ac:dyDescent="0.3">
      <c r="A39" t="s">
        <v>23</v>
      </c>
      <c r="B39" t="s">
        <v>24</v>
      </c>
      <c r="C39" t="s">
        <v>25</v>
      </c>
      <c r="D39">
        <v>126745</v>
      </c>
      <c r="E39">
        <v>39.81</v>
      </c>
      <c r="F39">
        <v>-105.14</v>
      </c>
      <c r="G39">
        <v>2018</v>
      </c>
      <c r="H39" t="s">
        <v>16</v>
      </c>
      <c r="I39">
        <v>1524.997104</v>
      </c>
      <c r="J39">
        <v>10021.840550000001</v>
      </c>
      <c r="K39">
        <v>-5148.7986069999997</v>
      </c>
      <c r="L39">
        <v>208.01054300000001</v>
      </c>
      <c r="M39">
        <v>11042.226420000001</v>
      </c>
    </row>
    <row r="40" spans="1:13" x14ac:dyDescent="0.3">
      <c r="A40" t="s">
        <v>23</v>
      </c>
      <c r="B40" t="s">
        <v>24</v>
      </c>
      <c r="C40" t="s">
        <v>25</v>
      </c>
      <c r="D40">
        <v>126745</v>
      </c>
      <c r="E40">
        <v>39.81</v>
      </c>
      <c r="F40">
        <v>-105.14</v>
      </c>
      <c r="G40">
        <v>2019</v>
      </c>
      <c r="H40" t="s">
        <v>15</v>
      </c>
      <c r="I40">
        <v>1496.7335720000001</v>
      </c>
      <c r="J40">
        <v>9858.2866950000007</v>
      </c>
      <c r="K40">
        <v>-5472.2064060000002</v>
      </c>
      <c r="L40">
        <v>220.9022204</v>
      </c>
      <c r="M40">
        <v>10965.85176</v>
      </c>
    </row>
    <row r="41" spans="1:13" x14ac:dyDescent="0.3">
      <c r="A41" t="s">
        <v>23</v>
      </c>
      <c r="B41" t="s">
        <v>24</v>
      </c>
      <c r="C41" t="s">
        <v>25</v>
      </c>
      <c r="D41">
        <v>126745</v>
      </c>
      <c r="E41">
        <v>39.81</v>
      </c>
      <c r="F41">
        <v>-105.14</v>
      </c>
      <c r="G41">
        <v>2019</v>
      </c>
      <c r="H41" t="s">
        <v>16</v>
      </c>
      <c r="I41">
        <v>1508.445318</v>
      </c>
      <c r="J41">
        <v>9941.7148149999994</v>
      </c>
      <c r="K41">
        <v>-5335.3039250000002</v>
      </c>
      <c r="L41">
        <v>209.19047449999999</v>
      </c>
      <c r="M41">
        <v>10965.85176</v>
      </c>
    </row>
    <row r="42" spans="1:13" x14ac:dyDescent="0.3">
      <c r="A42" t="s">
        <v>23</v>
      </c>
      <c r="B42" t="s">
        <v>24</v>
      </c>
      <c r="C42" t="s">
        <v>25</v>
      </c>
      <c r="D42">
        <v>126745</v>
      </c>
      <c r="E42">
        <v>39.81</v>
      </c>
      <c r="F42">
        <v>-105.14</v>
      </c>
      <c r="G42">
        <v>2020</v>
      </c>
      <c r="H42" t="s">
        <v>15</v>
      </c>
      <c r="I42">
        <v>1499.3794869999999</v>
      </c>
      <c r="J42">
        <v>9852.0179929999995</v>
      </c>
      <c r="K42">
        <v>-5450.7762789999997</v>
      </c>
      <c r="L42">
        <v>240.07813100000001</v>
      </c>
      <c r="M42">
        <v>11104.61967</v>
      </c>
    </row>
    <row r="43" spans="1:13" x14ac:dyDescent="0.3">
      <c r="A43" t="s">
        <v>23</v>
      </c>
      <c r="B43" t="s">
        <v>24</v>
      </c>
      <c r="C43" t="s">
        <v>25</v>
      </c>
      <c r="D43">
        <v>126745</v>
      </c>
      <c r="E43">
        <v>39.81</v>
      </c>
      <c r="F43">
        <v>-105.14</v>
      </c>
      <c r="G43">
        <v>2020</v>
      </c>
      <c r="H43" t="s">
        <v>16</v>
      </c>
      <c r="I43">
        <v>1557.2722630000001</v>
      </c>
      <c r="J43">
        <v>10295.1371</v>
      </c>
      <c r="K43">
        <v>-4777.4209410000003</v>
      </c>
      <c r="L43">
        <v>182.1853558</v>
      </c>
      <c r="M43">
        <v>11104.61967</v>
      </c>
    </row>
    <row r="44" spans="1:13" x14ac:dyDescent="0.3">
      <c r="A44" t="s">
        <v>23</v>
      </c>
      <c r="B44" t="s">
        <v>24</v>
      </c>
      <c r="C44" t="s">
        <v>25</v>
      </c>
      <c r="D44">
        <v>126745</v>
      </c>
      <c r="E44">
        <v>39.81</v>
      </c>
      <c r="F44">
        <v>-105.14</v>
      </c>
      <c r="G44">
        <v>2021</v>
      </c>
      <c r="H44" t="s">
        <v>15</v>
      </c>
      <c r="I44">
        <v>1498.7832559999999</v>
      </c>
      <c r="J44">
        <v>9851.8470219999999</v>
      </c>
      <c r="K44">
        <v>-5415.9187840000004</v>
      </c>
      <c r="L44">
        <v>238.42342790000001</v>
      </c>
      <c r="M44">
        <v>11073.902980000001</v>
      </c>
    </row>
    <row r="45" spans="1:13" x14ac:dyDescent="0.3">
      <c r="A45" t="s">
        <v>23</v>
      </c>
      <c r="B45" t="s">
        <v>24</v>
      </c>
      <c r="C45" t="s">
        <v>25</v>
      </c>
      <c r="D45">
        <v>126745</v>
      </c>
      <c r="E45">
        <v>39.81</v>
      </c>
      <c r="F45">
        <v>-105.14</v>
      </c>
      <c r="G45">
        <v>2021</v>
      </c>
      <c r="H45" t="s">
        <v>16</v>
      </c>
      <c r="I45">
        <v>1557.0189029999999</v>
      </c>
      <c r="J45">
        <v>10246.02088</v>
      </c>
      <c r="K45">
        <v>-4772.4727949999997</v>
      </c>
      <c r="L45">
        <v>180.18778069999999</v>
      </c>
      <c r="M45">
        <v>11073.902980000001</v>
      </c>
    </row>
    <row r="46" spans="1:13" x14ac:dyDescent="0.3">
      <c r="A46" t="s">
        <v>23</v>
      </c>
      <c r="B46" t="s">
        <v>24</v>
      </c>
      <c r="C46" t="s">
        <v>25</v>
      </c>
      <c r="D46">
        <v>126745</v>
      </c>
      <c r="E46">
        <v>39.81</v>
      </c>
      <c r="F46">
        <v>-105.14</v>
      </c>
      <c r="G46">
        <v>2022</v>
      </c>
      <c r="H46" t="s">
        <v>15</v>
      </c>
      <c r="I46">
        <v>1498.48224</v>
      </c>
      <c r="J46">
        <v>9851.7893459999996</v>
      </c>
      <c r="K46">
        <v>-5457.4465200000004</v>
      </c>
      <c r="L46">
        <v>243.0963165</v>
      </c>
      <c r="M46">
        <v>11135.292820000001</v>
      </c>
    </row>
    <row r="47" spans="1:13" x14ac:dyDescent="0.3">
      <c r="A47" t="s">
        <v>23</v>
      </c>
      <c r="B47" t="s">
        <v>24</v>
      </c>
      <c r="C47" t="s">
        <v>25</v>
      </c>
      <c r="D47">
        <v>126745</v>
      </c>
      <c r="E47">
        <v>39.81</v>
      </c>
      <c r="F47">
        <v>-105.14</v>
      </c>
      <c r="G47">
        <v>2022</v>
      </c>
      <c r="H47" t="s">
        <v>16</v>
      </c>
      <c r="I47">
        <v>1554.059301</v>
      </c>
      <c r="J47">
        <v>10295.098760000001</v>
      </c>
      <c r="K47">
        <v>-4765.2529919999997</v>
      </c>
      <c r="L47">
        <v>187.5192553</v>
      </c>
      <c r="M47">
        <v>11135.292820000001</v>
      </c>
    </row>
    <row r="48" spans="1:13" x14ac:dyDescent="0.3">
      <c r="A48" t="s">
        <v>23</v>
      </c>
      <c r="B48" t="s">
        <v>24</v>
      </c>
      <c r="C48" t="s">
        <v>25</v>
      </c>
      <c r="D48">
        <v>126745</v>
      </c>
      <c r="E48">
        <v>39.81</v>
      </c>
      <c r="F48">
        <v>-105.14</v>
      </c>
      <c r="G48">
        <v>2023</v>
      </c>
      <c r="H48" t="s">
        <v>15</v>
      </c>
      <c r="I48">
        <v>1496.417209</v>
      </c>
      <c r="J48">
        <v>9856.7248400000008</v>
      </c>
      <c r="K48">
        <v>-5482.8627399999996</v>
      </c>
      <c r="L48">
        <v>200.76408720000001</v>
      </c>
      <c r="M48">
        <v>10819.68629</v>
      </c>
    </row>
    <row r="49" spans="1:13" x14ac:dyDescent="0.3">
      <c r="A49" t="s">
        <v>23</v>
      </c>
      <c r="B49" t="s">
        <v>24</v>
      </c>
      <c r="C49" t="s">
        <v>25</v>
      </c>
      <c r="D49">
        <v>126745</v>
      </c>
      <c r="E49">
        <v>39.81</v>
      </c>
      <c r="F49">
        <v>-105.14</v>
      </c>
      <c r="G49">
        <v>2023</v>
      </c>
      <c r="H49" t="s">
        <v>16</v>
      </c>
      <c r="I49">
        <v>1532.9656709999999</v>
      </c>
      <c r="J49">
        <v>10101.97862</v>
      </c>
      <c r="K49">
        <v>-5066.167931</v>
      </c>
      <c r="L49">
        <v>164.2156253</v>
      </c>
      <c r="M49">
        <v>10819.68629</v>
      </c>
    </row>
    <row r="50" spans="1:13" x14ac:dyDescent="0.3">
      <c r="A50" t="s">
        <v>26</v>
      </c>
      <c r="B50" t="s">
        <v>27</v>
      </c>
      <c r="C50" t="s">
        <v>28</v>
      </c>
      <c r="D50">
        <v>305</v>
      </c>
      <c r="E50">
        <v>41.88</v>
      </c>
      <c r="F50">
        <v>-71.02</v>
      </c>
      <c r="G50">
        <v>2018</v>
      </c>
      <c r="H50" t="s">
        <v>15</v>
      </c>
      <c r="I50">
        <v>3712.355313</v>
      </c>
      <c r="J50">
        <v>8657.6798350000008</v>
      </c>
      <c r="K50">
        <v>20075.813679999999</v>
      </c>
      <c r="L50">
        <v>1093.3127199999999</v>
      </c>
      <c r="M50">
        <v>10808.9228</v>
      </c>
    </row>
    <row r="51" spans="1:13" x14ac:dyDescent="0.3">
      <c r="A51" t="s">
        <v>26</v>
      </c>
      <c r="B51" t="s">
        <v>27</v>
      </c>
      <c r="C51" t="s">
        <v>28</v>
      </c>
      <c r="D51">
        <v>305</v>
      </c>
      <c r="E51">
        <v>41.88</v>
      </c>
      <c r="F51">
        <v>-71.02</v>
      </c>
      <c r="G51">
        <v>2018</v>
      </c>
      <c r="H51" t="s">
        <v>16</v>
      </c>
      <c r="I51">
        <v>3457.8478879999998</v>
      </c>
      <c r="J51">
        <v>8002.9219190000003</v>
      </c>
      <c r="K51">
        <v>17038.586459999999</v>
      </c>
      <c r="L51">
        <v>1347.8201449999999</v>
      </c>
      <c r="M51">
        <v>10808.9228</v>
      </c>
    </row>
    <row r="52" spans="1:13" x14ac:dyDescent="0.3">
      <c r="A52" t="s">
        <v>26</v>
      </c>
      <c r="B52" t="s">
        <v>27</v>
      </c>
      <c r="C52" t="s">
        <v>28</v>
      </c>
      <c r="D52">
        <v>305</v>
      </c>
      <c r="E52">
        <v>41.88</v>
      </c>
      <c r="F52">
        <v>-71.02</v>
      </c>
      <c r="G52">
        <v>2019</v>
      </c>
      <c r="H52" t="s">
        <v>15</v>
      </c>
      <c r="I52">
        <v>3701.7411029999998</v>
      </c>
      <c r="J52">
        <v>8659.1755109999995</v>
      </c>
      <c r="K52">
        <v>19947.231319999999</v>
      </c>
      <c r="L52">
        <v>1002.4112720000001</v>
      </c>
      <c r="M52">
        <v>10574.74596</v>
      </c>
    </row>
    <row r="53" spans="1:13" x14ac:dyDescent="0.3">
      <c r="A53" t="s">
        <v>26</v>
      </c>
      <c r="B53" t="s">
        <v>27</v>
      </c>
      <c r="C53" t="s">
        <v>28</v>
      </c>
      <c r="D53">
        <v>305</v>
      </c>
      <c r="E53">
        <v>41.88</v>
      </c>
      <c r="F53">
        <v>-71.02</v>
      </c>
      <c r="G53">
        <v>2019</v>
      </c>
      <c r="H53" t="s">
        <v>16</v>
      </c>
      <c r="I53">
        <v>3595.0541370000001</v>
      </c>
      <c r="J53">
        <v>8337.7998210000005</v>
      </c>
      <c r="K53">
        <v>18672.696510000002</v>
      </c>
      <c r="L53">
        <v>1109.0982369999999</v>
      </c>
      <c r="M53">
        <v>10574.74596</v>
      </c>
    </row>
    <row r="54" spans="1:13" x14ac:dyDescent="0.3">
      <c r="A54" t="s">
        <v>26</v>
      </c>
      <c r="B54" t="s">
        <v>27</v>
      </c>
      <c r="C54" t="s">
        <v>28</v>
      </c>
      <c r="D54">
        <v>305</v>
      </c>
      <c r="E54">
        <v>41.88</v>
      </c>
      <c r="F54">
        <v>-71.02</v>
      </c>
      <c r="G54">
        <v>2020</v>
      </c>
      <c r="H54" t="s">
        <v>15</v>
      </c>
      <c r="I54">
        <v>3720.8014309999999</v>
      </c>
      <c r="J54">
        <v>8656.6694929999994</v>
      </c>
      <c r="K54">
        <v>20104.735270000001</v>
      </c>
      <c r="L54">
        <v>1121.3125500000001</v>
      </c>
      <c r="M54">
        <v>10892.996499999999</v>
      </c>
    </row>
    <row r="55" spans="1:13" x14ac:dyDescent="0.3">
      <c r="A55" t="s">
        <v>26</v>
      </c>
      <c r="B55" t="s">
        <v>27</v>
      </c>
      <c r="C55" t="s">
        <v>28</v>
      </c>
      <c r="D55">
        <v>305</v>
      </c>
      <c r="E55">
        <v>41.88</v>
      </c>
      <c r="F55">
        <v>-71.02</v>
      </c>
      <c r="G55">
        <v>2020</v>
      </c>
      <c r="H55" t="s">
        <v>16</v>
      </c>
      <c r="I55">
        <v>3558.1106840000002</v>
      </c>
      <c r="J55">
        <v>8294.7740020000001</v>
      </c>
      <c r="K55">
        <v>18186.17499</v>
      </c>
      <c r="L55">
        <v>1284.0032960000001</v>
      </c>
      <c r="M55">
        <v>10892.996499999999</v>
      </c>
    </row>
    <row r="56" spans="1:13" x14ac:dyDescent="0.3">
      <c r="A56" t="s">
        <v>26</v>
      </c>
      <c r="B56" t="s">
        <v>27</v>
      </c>
      <c r="C56" t="s">
        <v>28</v>
      </c>
      <c r="D56">
        <v>305</v>
      </c>
      <c r="E56">
        <v>41.88</v>
      </c>
      <c r="F56">
        <v>-71.02</v>
      </c>
      <c r="G56">
        <v>2021</v>
      </c>
      <c r="H56" t="s">
        <v>15</v>
      </c>
      <c r="I56">
        <v>3722.0833189999998</v>
      </c>
      <c r="J56">
        <v>8654.5969430000005</v>
      </c>
      <c r="K56">
        <v>20125.185109999999</v>
      </c>
      <c r="L56">
        <v>1028.0792220000001</v>
      </c>
      <c r="M56">
        <v>10680.882449999999</v>
      </c>
    </row>
    <row r="57" spans="1:13" x14ac:dyDescent="0.3">
      <c r="A57" t="s">
        <v>26</v>
      </c>
      <c r="B57" t="s">
        <v>27</v>
      </c>
      <c r="C57" t="s">
        <v>28</v>
      </c>
      <c r="D57">
        <v>305</v>
      </c>
      <c r="E57">
        <v>41.88</v>
      </c>
      <c r="F57">
        <v>-71.02</v>
      </c>
      <c r="G57">
        <v>2021</v>
      </c>
      <c r="H57" t="s">
        <v>16</v>
      </c>
      <c r="I57">
        <v>3640.4583429999998</v>
      </c>
      <c r="J57">
        <v>8524.7129120000009</v>
      </c>
      <c r="K57">
        <v>19244.93492</v>
      </c>
      <c r="L57">
        <v>1109.7041979999999</v>
      </c>
      <c r="M57">
        <v>10680.882449999999</v>
      </c>
    </row>
    <row r="58" spans="1:13" x14ac:dyDescent="0.3">
      <c r="A58" t="s">
        <v>26</v>
      </c>
      <c r="B58" t="s">
        <v>27</v>
      </c>
      <c r="C58" t="s">
        <v>28</v>
      </c>
      <c r="D58">
        <v>305</v>
      </c>
      <c r="E58">
        <v>41.88</v>
      </c>
      <c r="F58">
        <v>-71.02</v>
      </c>
      <c r="G58">
        <v>2022</v>
      </c>
      <c r="H58" t="s">
        <v>15</v>
      </c>
      <c r="I58">
        <v>3724.7958229999999</v>
      </c>
      <c r="J58">
        <v>8658.4399969999995</v>
      </c>
      <c r="K58">
        <v>20161.207160000002</v>
      </c>
      <c r="L58">
        <v>1153.6988710000001</v>
      </c>
      <c r="M58">
        <v>10976.91971</v>
      </c>
    </row>
    <row r="59" spans="1:13" x14ac:dyDescent="0.3">
      <c r="A59" t="s">
        <v>26</v>
      </c>
      <c r="B59" t="s">
        <v>27</v>
      </c>
      <c r="C59" t="s">
        <v>28</v>
      </c>
      <c r="D59">
        <v>305</v>
      </c>
      <c r="E59">
        <v>41.88</v>
      </c>
      <c r="F59">
        <v>-71.02</v>
      </c>
      <c r="G59">
        <v>2022</v>
      </c>
      <c r="H59" t="s">
        <v>16</v>
      </c>
      <c r="I59">
        <v>3807.3905239999999</v>
      </c>
      <c r="J59">
        <v>8896.0951299999997</v>
      </c>
      <c r="K59">
        <v>21111.614140000001</v>
      </c>
      <c r="L59">
        <v>1071.104169</v>
      </c>
      <c r="M59">
        <v>10976.91971</v>
      </c>
    </row>
    <row r="60" spans="1:13" x14ac:dyDescent="0.3">
      <c r="A60" t="s">
        <v>26</v>
      </c>
      <c r="B60" t="s">
        <v>27</v>
      </c>
      <c r="C60" t="s">
        <v>28</v>
      </c>
      <c r="D60">
        <v>305</v>
      </c>
      <c r="E60">
        <v>41.88</v>
      </c>
      <c r="F60">
        <v>-71.02</v>
      </c>
      <c r="G60">
        <v>2023</v>
      </c>
      <c r="H60" t="s">
        <v>15</v>
      </c>
      <c r="I60">
        <v>3710.5274720000002</v>
      </c>
      <c r="J60">
        <v>8656.0725980000007</v>
      </c>
      <c r="K60">
        <v>20051.871500000001</v>
      </c>
      <c r="L60">
        <v>969.77917049999996</v>
      </c>
      <c r="M60">
        <v>10519.738509999999</v>
      </c>
    </row>
    <row r="61" spans="1:13" x14ac:dyDescent="0.3">
      <c r="A61" t="s">
        <v>26</v>
      </c>
      <c r="B61" t="s">
        <v>27</v>
      </c>
      <c r="C61" t="s">
        <v>28</v>
      </c>
      <c r="D61">
        <v>305</v>
      </c>
      <c r="E61">
        <v>41.88</v>
      </c>
      <c r="F61">
        <v>-71.02</v>
      </c>
      <c r="G61">
        <v>2023</v>
      </c>
      <c r="H61" t="s">
        <v>16</v>
      </c>
      <c r="I61">
        <v>3502.4156349999998</v>
      </c>
      <c r="J61">
        <v>8211.6621930000001</v>
      </c>
      <c r="K61">
        <v>17602.387220000001</v>
      </c>
      <c r="L61">
        <v>1177.8910080000001</v>
      </c>
      <c r="M61">
        <v>10519.738509999999</v>
      </c>
    </row>
    <row r="62" spans="1:13" x14ac:dyDescent="0.3">
      <c r="A62" t="s">
        <v>29</v>
      </c>
      <c r="B62" t="s">
        <v>30</v>
      </c>
      <c r="C62" t="s">
        <v>25</v>
      </c>
      <c r="D62">
        <v>442412</v>
      </c>
      <c r="E62">
        <v>44.85</v>
      </c>
      <c r="F62">
        <v>-93.03</v>
      </c>
      <c r="G62">
        <v>2018</v>
      </c>
      <c r="H62" t="s">
        <v>15</v>
      </c>
      <c r="I62">
        <v>1666.660302</v>
      </c>
      <c r="J62">
        <v>8364.1933489999992</v>
      </c>
      <c r="K62">
        <v>-3373.2541019999999</v>
      </c>
      <c r="L62">
        <v>314.3600548</v>
      </c>
      <c r="M62">
        <v>11000.79492</v>
      </c>
    </row>
    <row r="63" spans="1:13" x14ac:dyDescent="0.3">
      <c r="A63" t="s">
        <v>29</v>
      </c>
      <c r="B63" t="s">
        <v>30</v>
      </c>
      <c r="C63" t="s">
        <v>25</v>
      </c>
      <c r="D63">
        <v>442412</v>
      </c>
      <c r="E63">
        <v>44.85</v>
      </c>
      <c r="F63">
        <v>-93.03</v>
      </c>
      <c r="G63">
        <v>2018</v>
      </c>
      <c r="H63" t="s">
        <v>16</v>
      </c>
      <c r="I63">
        <v>1611.268155</v>
      </c>
      <c r="J63">
        <v>8032.9372020000001</v>
      </c>
      <c r="K63">
        <v>-4080.0492479999998</v>
      </c>
      <c r="L63">
        <v>369.7522017</v>
      </c>
      <c r="M63">
        <v>11000.79492</v>
      </c>
    </row>
    <row r="64" spans="1:13" x14ac:dyDescent="0.3">
      <c r="A64" t="s">
        <v>29</v>
      </c>
      <c r="B64" t="s">
        <v>30</v>
      </c>
      <c r="C64" t="s">
        <v>25</v>
      </c>
      <c r="D64">
        <v>442412</v>
      </c>
      <c r="E64">
        <v>44.85</v>
      </c>
      <c r="F64">
        <v>-93.03</v>
      </c>
      <c r="G64">
        <v>2019</v>
      </c>
      <c r="H64" t="s">
        <v>15</v>
      </c>
      <c r="I64">
        <v>1674.749243</v>
      </c>
      <c r="J64">
        <v>8363.8572100000001</v>
      </c>
      <c r="K64">
        <v>-3368.1557250000001</v>
      </c>
      <c r="L64">
        <v>251.4620583</v>
      </c>
      <c r="M64">
        <v>10630.344520000001</v>
      </c>
    </row>
    <row r="65" spans="1:13" x14ac:dyDescent="0.3">
      <c r="A65" t="s">
        <v>29</v>
      </c>
      <c r="B65" t="s">
        <v>30</v>
      </c>
      <c r="C65" t="s">
        <v>25</v>
      </c>
      <c r="D65">
        <v>442412</v>
      </c>
      <c r="E65">
        <v>44.85</v>
      </c>
      <c r="F65">
        <v>-93.03</v>
      </c>
      <c r="G65">
        <v>2019</v>
      </c>
      <c r="H65" t="s">
        <v>16</v>
      </c>
      <c r="I65">
        <v>1595.8502329999999</v>
      </c>
      <c r="J65">
        <v>7830.0344969999996</v>
      </c>
      <c r="K65">
        <v>-4201.6634299999996</v>
      </c>
      <c r="L65">
        <v>330.36106840000002</v>
      </c>
      <c r="M65">
        <v>10630.344520000001</v>
      </c>
    </row>
    <row r="66" spans="1:13" x14ac:dyDescent="0.3">
      <c r="A66" t="s">
        <v>29</v>
      </c>
      <c r="B66" t="s">
        <v>30</v>
      </c>
      <c r="C66" t="s">
        <v>25</v>
      </c>
      <c r="D66">
        <v>442412</v>
      </c>
      <c r="E66">
        <v>44.85</v>
      </c>
      <c r="F66">
        <v>-93.03</v>
      </c>
      <c r="G66">
        <v>2020</v>
      </c>
      <c r="H66" t="s">
        <v>15</v>
      </c>
      <c r="I66">
        <v>1672.0418749999999</v>
      </c>
      <c r="J66">
        <v>8362.0054490000002</v>
      </c>
      <c r="K66">
        <v>-3392.7907799999998</v>
      </c>
      <c r="L66">
        <v>269.46187859999998</v>
      </c>
      <c r="M66">
        <v>10726.989879999999</v>
      </c>
    </row>
    <row r="67" spans="1:13" x14ac:dyDescent="0.3">
      <c r="A67" t="s">
        <v>29</v>
      </c>
      <c r="B67" t="s">
        <v>30</v>
      </c>
      <c r="C67" t="s">
        <v>25</v>
      </c>
      <c r="D67">
        <v>442412</v>
      </c>
      <c r="E67">
        <v>44.85</v>
      </c>
      <c r="F67">
        <v>-93.03</v>
      </c>
      <c r="G67">
        <v>2020</v>
      </c>
      <c r="H67" t="s">
        <v>16</v>
      </c>
      <c r="I67">
        <v>1643.6234449999999</v>
      </c>
      <c r="J67">
        <v>8293.4924730000002</v>
      </c>
      <c r="K67">
        <v>-3657.1585610000002</v>
      </c>
      <c r="L67">
        <v>297.88030839999999</v>
      </c>
      <c r="M67">
        <v>10726.989879999999</v>
      </c>
    </row>
    <row r="68" spans="1:13" x14ac:dyDescent="0.3">
      <c r="A68" t="s">
        <v>29</v>
      </c>
      <c r="B68" t="s">
        <v>30</v>
      </c>
      <c r="C68" t="s">
        <v>25</v>
      </c>
      <c r="D68">
        <v>442412</v>
      </c>
      <c r="E68">
        <v>44.85</v>
      </c>
      <c r="F68">
        <v>-93.03</v>
      </c>
      <c r="G68">
        <v>2021</v>
      </c>
      <c r="H68" t="s">
        <v>15</v>
      </c>
      <c r="I68">
        <v>1716.6432119999999</v>
      </c>
      <c r="J68">
        <v>8367.3060330000008</v>
      </c>
      <c r="K68">
        <v>-2901.524981</v>
      </c>
      <c r="L68">
        <v>318.66880309999999</v>
      </c>
      <c r="M68">
        <v>11161.565930000001</v>
      </c>
    </row>
    <row r="69" spans="1:13" x14ac:dyDescent="0.3">
      <c r="A69" t="s">
        <v>29</v>
      </c>
      <c r="B69" t="s">
        <v>30</v>
      </c>
      <c r="C69" t="s">
        <v>25</v>
      </c>
      <c r="D69">
        <v>442412</v>
      </c>
      <c r="E69">
        <v>44.85</v>
      </c>
      <c r="F69">
        <v>-93.03</v>
      </c>
      <c r="G69">
        <v>2021</v>
      </c>
      <c r="H69" t="s">
        <v>16</v>
      </c>
      <c r="I69">
        <v>1728.1305030000001</v>
      </c>
      <c r="J69">
        <v>8563.2262009999995</v>
      </c>
      <c r="K69">
        <v>-2639.0450860000001</v>
      </c>
      <c r="L69">
        <v>307.181512</v>
      </c>
      <c r="M69">
        <v>11161.565930000001</v>
      </c>
    </row>
    <row r="70" spans="1:13" x14ac:dyDescent="0.3">
      <c r="A70" t="s">
        <v>29</v>
      </c>
      <c r="B70" t="s">
        <v>30</v>
      </c>
      <c r="C70" t="s">
        <v>25</v>
      </c>
      <c r="D70">
        <v>442412</v>
      </c>
      <c r="E70">
        <v>44.85</v>
      </c>
      <c r="F70">
        <v>-93.03</v>
      </c>
      <c r="G70">
        <v>2022</v>
      </c>
      <c r="H70" t="s">
        <v>15</v>
      </c>
      <c r="I70">
        <v>1685.686852</v>
      </c>
      <c r="J70">
        <v>8364.4012230000008</v>
      </c>
      <c r="K70">
        <v>-3204.5027490000002</v>
      </c>
      <c r="L70">
        <v>310.93280090000002</v>
      </c>
      <c r="M70">
        <v>11038.36486</v>
      </c>
    </row>
    <row r="71" spans="1:13" x14ac:dyDescent="0.3">
      <c r="A71" t="s">
        <v>29</v>
      </c>
      <c r="B71" t="s">
        <v>30</v>
      </c>
      <c r="C71" t="s">
        <v>25</v>
      </c>
      <c r="D71">
        <v>442412</v>
      </c>
      <c r="E71">
        <v>44.85</v>
      </c>
      <c r="F71">
        <v>-93.03</v>
      </c>
      <c r="G71">
        <v>2022</v>
      </c>
      <c r="H71" t="s">
        <v>16</v>
      </c>
      <c r="I71">
        <v>1667.697946</v>
      </c>
      <c r="J71">
        <v>8258.1244900000002</v>
      </c>
      <c r="K71">
        <v>-3382.2728699999998</v>
      </c>
      <c r="L71">
        <v>328.92170640000001</v>
      </c>
      <c r="M71">
        <v>11038.36486</v>
      </c>
    </row>
    <row r="72" spans="1:13" x14ac:dyDescent="0.3">
      <c r="A72" t="s">
        <v>29</v>
      </c>
      <c r="B72" t="s">
        <v>30</v>
      </c>
      <c r="C72" t="s">
        <v>25</v>
      </c>
      <c r="D72">
        <v>442412</v>
      </c>
      <c r="E72">
        <v>44.85</v>
      </c>
      <c r="F72">
        <v>-93.03</v>
      </c>
      <c r="G72">
        <v>2023</v>
      </c>
      <c r="H72" t="s">
        <v>15</v>
      </c>
      <c r="I72">
        <v>1698.889068</v>
      </c>
      <c r="J72">
        <v>8366.8958419999999</v>
      </c>
      <c r="K72">
        <v>-3070.8146839999999</v>
      </c>
      <c r="L72">
        <v>332.49785809999997</v>
      </c>
      <c r="M72">
        <v>11155.9566</v>
      </c>
    </row>
    <row r="73" spans="1:13" x14ac:dyDescent="0.3">
      <c r="A73" t="s">
        <v>29</v>
      </c>
      <c r="B73" t="s">
        <v>30</v>
      </c>
      <c r="C73" t="s">
        <v>25</v>
      </c>
      <c r="D73">
        <v>442412</v>
      </c>
      <c r="E73">
        <v>44.85</v>
      </c>
      <c r="F73">
        <v>-93.03</v>
      </c>
      <c r="G73">
        <v>2023</v>
      </c>
      <c r="H73" t="s">
        <v>16</v>
      </c>
      <c r="I73">
        <v>1705.7552020000001</v>
      </c>
      <c r="J73">
        <v>8371.6822639999991</v>
      </c>
      <c r="K73">
        <v>-2955.8009179999999</v>
      </c>
      <c r="L73">
        <v>325.63172420000001</v>
      </c>
      <c r="M73">
        <v>11155.9566</v>
      </c>
    </row>
    <row r="74" spans="1:13" x14ac:dyDescent="0.3">
      <c r="A74" t="s">
        <v>31</v>
      </c>
      <c r="B74" t="s">
        <v>32</v>
      </c>
      <c r="C74" t="s">
        <v>33</v>
      </c>
      <c r="D74">
        <v>404322</v>
      </c>
      <c r="E74">
        <v>40.68</v>
      </c>
      <c r="F74">
        <v>-74.17</v>
      </c>
      <c r="G74">
        <v>2018</v>
      </c>
      <c r="H74" t="s">
        <v>15</v>
      </c>
      <c r="I74">
        <v>2964.2579089999999</v>
      </c>
      <c r="J74">
        <v>8286.8217349999995</v>
      </c>
      <c r="K74">
        <v>11087.599969999999</v>
      </c>
      <c r="L74">
        <v>1860.7454729999999</v>
      </c>
      <c r="M74">
        <v>10715.710639999999</v>
      </c>
    </row>
    <row r="75" spans="1:13" x14ac:dyDescent="0.3">
      <c r="A75" t="s">
        <v>31</v>
      </c>
      <c r="B75" t="s">
        <v>32</v>
      </c>
      <c r="C75" t="s">
        <v>33</v>
      </c>
      <c r="D75">
        <v>404322</v>
      </c>
      <c r="E75">
        <v>40.68</v>
      </c>
      <c r="F75">
        <v>-74.17</v>
      </c>
      <c r="G75">
        <v>2018</v>
      </c>
      <c r="H75" t="s">
        <v>16</v>
      </c>
      <c r="I75">
        <v>2667.7979740000001</v>
      </c>
      <c r="J75">
        <v>7415.2706420000004</v>
      </c>
      <c r="K75">
        <v>8024.5887199999997</v>
      </c>
      <c r="L75">
        <v>2157.2054079999998</v>
      </c>
      <c r="M75">
        <v>10715.710639999999</v>
      </c>
    </row>
    <row r="76" spans="1:13" x14ac:dyDescent="0.3">
      <c r="A76" t="s">
        <v>31</v>
      </c>
      <c r="B76" t="s">
        <v>32</v>
      </c>
      <c r="C76" t="s">
        <v>33</v>
      </c>
      <c r="D76">
        <v>404322</v>
      </c>
      <c r="E76">
        <v>40.68</v>
      </c>
      <c r="F76">
        <v>-74.17</v>
      </c>
      <c r="G76">
        <v>2019</v>
      </c>
      <c r="H76" t="s">
        <v>15</v>
      </c>
      <c r="I76">
        <v>2921.8567579999999</v>
      </c>
      <c r="J76">
        <v>8274.899077</v>
      </c>
      <c r="K76">
        <v>10677.305840000001</v>
      </c>
      <c r="L76">
        <v>1837.0731310000001</v>
      </c>
      <c r="M76">
        <v>10652.359130000001</v>
      </c>
    </row>
    <row r="77" spans="1:13" x14ac:dyDescent="0.3">
      <c r="A77" t="s">
        <v>31</v>
      </c>
      <c r="B77" t="s">
        <v>32</v>
      </c>
      <c r="C77" t="s">
        <v>33</v>
      </c>
      <c r="D77">
        <v>404322</v>
      </c>
      <c r="E77">
        <v>40.68</v>
      </c>
      <c r="F77">
        <v>-74.17</v>
      </c>
      <c r="G77">
        <v>2019</v>
      </c>
      <c r="H77" t="s">
        <v>16</v>
      </c>
      <c r="I77">
        <v>2820.115765</v>
      </c>
      <c r="J77">
        <v>7966.0868460000002</v>
      </c>
      <c r="K77">
        <v>9643.7054029999999</v>
      </c>
      <c r="L77">
        <v>1938.8141250000001</v>
      </c>
      <c r="M77">
        <v>10652.359130000001</v>
      </c>
    </row>
    <row r="78" spans="1:13" x14ac:dyDescent="0.3">
      <c r="A78" t="s">
        <v>31</v>
      </c>
      <c r="B78" t="s">
        <v>32</v>
      </c>
      <c r="C78" t="s">
        <v>33</v>
      </c>
      <c r="D78">
        <v>404322</v>
      </c>
      <c r="E78">
        <v>40.68</v>
      </c>
      <c r="F78">
        <v>-74.17</v>
      </c>
      <c r="G78">
        <v>2020</v>
      </c>
      <c r="H78" t="s">
        <v>15</v>
      </c>
      <c r="I78">
        <v>2903.305785</v>
      </c>
      <c r="J78">
        <v>8281.28226</v>
      </c>
      <c r="K78">
        <v>10672.491609999999</v>
      </c>
      <c r="L78">
        <v>1895.756832</v>
      </c>
      <c r="M78">
        <v>10724.22212</v>
      </c>
    </row>
    <row r="79" spans="1:13" x14ac:dyDescent="0.3">
      <c r="A79" t="s">
        <v>31</v>
      </c>
      <c r="B79" t="s">
        <v>32</v>
      </c>
      <c r="C79" t="s">
        <v>33</v>
      </c>
      <c r="D79">
        <v>404322</v>
      </c>
      <c r="E79">
        <v>40.68</v>
      </c>
      <c r="F79">
        <v>-74.17</v>
      </c>
      <c r="G79">
        <v>2020</v>
      </c>
      <c r="H79" t="s">
        <v>16</v>
      </c>
      <c r="I79">
        <v>2845.0364800000002</v>
      </c>
      <c r="J79">
        <v>7957.3889330000002</v>
      </c>
      <c r="K79">
        <v>9973.4830829999992</v>
      </c>
      <c r="L79">
        <v>1954.0261370000001</v>
      </c>
      <c r="M79">
        <v>10724.22212</v>
      </c>
    </row>
    <row r="80" spans="1:13" x14ac:dyDescent="0.3">
      <c r="A80" t="s">
        <v>31</v>
      </c>
      <c r="B80" t="s">
        <v>32</v>
      </c>
      <c r="C80" t="s">
        <v>33</v>
      </c>
      <c r="D80">
        <v>404322</v>
      </c>
      <c r="E80">
        <v>40.68</v>
      </c>
      <c r="F80">
        <v>-74.17</v>
      </c>
      <c r="G80">
        <v>2021</v>
      </c>
      <c r="H80" t="s">
        <v>15</v>
      </c>
      <c r="I80">
        <v>2901.8490120000001</v>
      </c>
      <c r="J80">
        <v>8285.0295139999998</v>
      </c>
      <c r="K80">
        <v>10592.422790000001</v>
      </c>
      <c r="L80">
        <v>1866.5065529999999</v>
      </c>
      <c r="M80">
        <v>10620.67218</v>
      </c>
    </row>
    <row r="81" spans="1:13" x14ac:dyDescent="0.3">
      <c r="A81" t="s">
        <v>31</v>
      </c>
      <c r="B81" t="s">
        <v>32</v>
      </c>
      <c r="C81" t="s">
        <v>33</v>
      </c>
      <c r="D81">
        <v>404322</v>
      </c>
      <c r="E81">
        <v>40.68</v>
      </c>
      <c r="F81">
        <v>-74.17</v>
      </c>
      <c r="G81">
        <v>2021</v>
      </c>
      <c r="H81" t="s">
        <v>16</v>
      </c>
      <c r="I81">
        <v>2871.891995</v>
      </c>
      <c r="J81">
        <v>8069.3552289999998</v>
      </c>
      <c r="K81">
        <v>10382.54629</v>
      </c>
      <c r="L81">
        <v>1896.463569</v>
      </c>
      <c r="M81">
        <v>10620.67218</v>
      </c>
    </row>
    <row r="82" spans="1:13" x14ac:dyDescent="0.3">
      <c r="A82" t="s">
        <v>31</v>
      </c>
      <c r="B82" t="s">
        <v>32</v>
      </c>
      <c r="C82" t="s">
        <v>33</v>
      </c>
      <c r="D82">
        <v>404322</v>
      </c>
      <c r="E82">
        <v>40.68</v>
      </c>
      <c r="F82">
        <v>-74.17</v>
      </c>
      <c r="G82">
        <v>2022</v>
      </c>
      <c r="H82" t="s">
        <v>15</v>
      </c>
      <c r="I82">
        <v>2941.9835680000001</v>
      </c>
      <c r="J82">
        <v>8276.2391850000004</v>
      </c>
      <c r="K82">
        <v>11133.973180000001</v>
      </c>
      <c r="L82">
        <v>1917.4742329999999</v>
      </c>
      <c r="M82">
        <v>10858.462519999999</v>
      </c>
    </row>
    <row r="83" spans="1:13" x14ac:dyDescent="0.3">
      <c r="A83" t="s">
        <v>31</v>
      </c>
      <c r="B83" t="s">
        <v>32</v>
      </c>
      <c r="C83" t="s">
        <v>33</v>
      </c>
      <c r="D83">
        <v>404322</v>
      </c>
      <c r="E83">
        <v>40.68</v>
      </c>
      <c r="F83">
        <v>-74.17</v>
      </c>
      <c r="G83">
        <v>2022</v>
      </c>
      <c r="H83" t="s">
        <v>16</v>
      </c>
      <c r="I83">
        <v>3042.2599270000001</v>
      </c>
      <c r="J83">
        <v>8533.0473220000003</v>
      </c>
      <c r="K83">
        <v>12211.21862</v>
      </c>
      <c r="L83">
        <v>1817.197874</v>
      </c>
      <c r="M83">
        <v>10858.462519999999</v>
      </c>
    </row>
    <row r="84" spans="1:13" x14ac:dyDescent="0.3">
      <c r="A84" t="s">
        <v>31</v>
      </c>
      <c r="B84" t="s">
        <v>32</v>
      </c>
      <c r="C84" t="s">
        <v>33</v>
      </c>
      <c r="D84">
        <v>404322</v>
      </c>
      <c r="E84">
        <v>40.68</v>
      </c>
      <c r="F84">
        <v>-74.17</v>
      </c>
      <c r="G84">
        <v>2023</v>
      </c>
      <c r="H84" t="s">
        <v>15</v>
      </c>
      <c r="I84">
        <v>2921.5766819999999</v>
      </c>
      <c r="J84">
        <v>8285.6783649999998</v>
      </c>
      <c r="K84">
        <v>10807.32648</v>
      </c>
      <c r="L84">
        <v>1817.3271709999999</v>
      </c>
      <c r="M84">
        <v>10526.54845</v>
      </c>
    </row>
    <row r="85" spans="1:13" x14ac:dyDescent="0.3">
      <c r="A85" t="s">
        <v>31</v>
      </c>
      <c r="B85" t="s">
        <v>32</v>
      </c>
      <c r="C85" t="s">
        <v>33</v>
      </c>
      <c r="D85">
        <v>404322</v>
      </c>
      <c r="E85">
        <v>40.68</v>
      </c>
      <c r="F85">
        <v>-74.17</v>
      </c>
      <c r="G85">
        <v>2023</v>
      </c>
      <c r="H85" t="s">
        <v>16</v>
      </c>
      <c r="I85">
        <v>2889.9280039999999</v>
      </c>
      <c r="J85">
        <v>8096.1183170000004</v>
      </c>
      <c r="K85">
        <v>10547.5164</v>
      </c>
      <c r="L85">
        <v>1848.975848</v>
      </c>
      <c r="M85">
        <v>10526.54845</v>
      </c>
    </row>
    <row r="86" spans="1:13" x14ac:dyDescent="0.3">
      <c r="A86" t="s">
        <v>34</v>
      </c>
      <c r="B86" t="s">
        <v>35</v>
      </c>
      <c r="C86" t="s">
        <v>36</v>
      </c>
      <c r="D86">
        <v>448494</v>
      </c>
      <c r="E86">
        <v>39.99</v>
      </c>
      <c r="F86">
        <v>-82.88</v>
      </c>
      <c r="G86">
        <v>2018</v>
      </c>
      <c r="H86" t="s">
        <v>15</v>
      </c>
      <c r="I86">
        <v>1292.249026</v>
      </c>
      <c r="J86">
        <v>8042.7405650000001</v>
      </c>
      <c r="K86">
        <v>-7847.8027480000001</v>
      </c>
      <c r="L86">
        <v>625.51626160000001</v>
      </c>
      <c r="M86">
        <v>10763.9349</v>
      </c>
    </row>
    <row r="87" spans="1:13" x14ac:dyDescent="0.3">
      <c r="A87" t="s">
        <v>34</v>
      </c>
      <c r="B87" t="s">
        <v>35</v>
      </c>
      <c r="C87" t="s">
        <v>36</v>
      </c>
      <c r="D87">
        <v>448494</v>
      </c>
      <c r="E87">
        <v>39.99</v>
      </c>
      <c r="F87">
        <v>-82.88</v>
      </c>
      <c r="G87">
        <v>2018</v>
      </c>
      <c r="H87" t="s">
        <v>16</v>
      </c>
      <c r="I87">
        <v>1240.513876</v>
      </c>
      <c r="J87">
        <v>7713.4735879999998</v>
      </c>
      <c r="K87">
        <v>-8443.4893900000006</v>
      </c>
      <c r="L87">
        <v>677.25141159999998</v>
      </c>
      <c r="M87">
        <v>10763.9349</v>
      </c>
    </row>
    <row r="88" spans="1:13" x14ac:dyDescent="0.3">
      <c r="A88" t="s">
        <v>34</v>
      </c>
      <c r="B88" t="s">
        <v>35</v>
      </c>
      <c r="C88" t="s">
        <v>36</v>
      </c>
      <c r="D88">
        <v>448494</v>
      </c>
      <c r="E88">
        <v>39.99</v>
      </c>
      <c r="F88">
        <v>-82.88</v>
      </c>
      <c r="G88">
        <v>2019</v>
      </c>
      <c r="H88" t="s">
        <v>15</v>
      </c>
      <c r="I88">
        <v>1285.622449</v>
      </c>
      <c r="J88">
        <v>8038.1796199999999</v>
      </c>
      <c r="K88">
        <v>-7904.9080569999996</v>
      </c>
      <c r="L88">
        <v>585.40040260000001</v>
      </c>
      <c r="M88">
        <v>10470.60859</v>
      </c>
    </row>
    <row r="89" spans="1:13" x14ac:dyDescent="0.3">
      <c r="A89" t="s">
        <v>34</v>
      </c>
      <c r="B89" t="s">
        <v>35</v>
      </c>
      <c r="C89" t="s">
        <v>36</v>
      </c>
      <c r="D89">
        <v>448494</v>
      </c>
      <c r="E89">
        <v>39.99</v>
      </c>
      <c r="F89">
        <v>-82.88</v>
      </c>
      <c r="G89">
        <v>2019</v>
      </c>
      <c r="H89" t="s">
        <v>16</v>
      </c>
      <c r="I89">
        <v>1288.3549579999999</v>
      </c>
      <c r="J89">
        <v>8012.0852500000001</v>
      </c>
      <c r="K89">
        <v>-7898.5872920000002</v>
      </c>
      <c r="L89">
        <v>582.66789340000003</v>
      </c>
      <c r="M89">
        <v>10470.60859</v>
      </c>
    </row>
    <row r="90" spans="1:13" x14ac:dyDescent="0.3">
      <c r="A90" t="s">
        <v>34</v>
      </c>
      <c r="B90" t="s">
        <v>35</v>
      </c>
      <c r="C90" t="s">
        <v>36</v>
      </c>
      <c r="D90">
        <v>448494</v>
      </c>
      <c r="E90">
        <v>39.99</v>
      </c>
      <c r="F90">
        <v>-82.88</v>
      </c>
      <c r="G90">
        <v>2020</v>
      </c>
      <c r="H90" t="s">
        <v>15</v>
      </c>
      <c r="I90">
        <v>1283.2652029999999</v>
      </c>
      <c r="J90">
        <v>8036.233346</v>
      </c>
      <c r="K90">
        <v>-7927.3716469999999</v>
      </c>
      <c r="L90">
        <v>561.98608639999998</v>
      </c>
      <c r="M90">
        <v>10314.041520000001</v>
      </c>
    </row>
    <row r="91" spans="1:13" x14ac:dyDescent="0.3">
      <c r="A91" t="s">
        <v>34</v>
      </c>
      <c r="B91" t="s">
        <v>35</v>
      </c>
      <c r="C91" t="s">
        <v>36</v>
      </c>
      <c r="D91">
        <v>448494</v>
      </c>
      <c r="E91">
        <v>39.99</v>
      </c>
      <c r="F91">
        <v>-82.88</v>
      </c>
      <c r="G91">
        <v>2020</v>
      </c>
      <c r="H91" t="s">
        <v>16</v>
      </c>
      <c r="I91">
        <v>1232.7841069999999</v>
      </c>
      <c r="J91">
        <v>7679.3874519999999</v>
      </c>
      <c r="K91">
        <v>-8521.0709150000002</v>
      </c>
      <c r="L91">
        <v>612.46718199999998</v>
      </c>
      <c r="M91">
        <v>10314.041520000001</v>
      </c>
    </row>
    <row r="92" spans="1:13" x14ac:dyDescent="0.3">
      <c r="A92" t="s">
        <v>34</v>
      </c>
      <c r="B92" t="s">
        <v>35</v>
      </c>
      <c r="C92" t="s">
        <v>36</v>
      </c>
      <c r="D92">
        <v>448494</v>
      </c>
      <c r="E92">
        <v>39.99</v>
      </c>
      <c r="F92">
        <v>-82.88</v>
      </c>
      <c r="G92">
        <v>2021</v>
      </c>
      <c r="H92" t="s">
        <v>15</v>
      </c>
      <c r="I92">
        <v>1284.196774</v>
      </c>
      <c r="J92">
        <v>8037.4379179999996</v>
      </c>
      <c r="K92">
        <v>-7922.9793280000004</v>
      </c>
      <c r="L92">
        <v>570.24756279999997</v>
      </c>
      <c r="M92">
        <v>10366.993109999999</v>
      </c>
    </row>
    <row r="93" spans="1:13" x14ac:dyDescent="0.3">
      <c r="A93" t="s">
        <v>34</v>
      </c>
      <c r="B93" t="s">
        <v>35</v>
      </c>
      <c r="C93" t="s">
        <v>36</v>
      </c>
      <c r="D93">
        <v>448494</v>
      </c>
      <c r="E93">
        <v>39.99</v>
      </c>
      <c r="F93">
        <v>-82.88</v>
      </c>
      <c r="G93">
        <v>2021</v>
      </c>
      <c r="H93" t="s">
        <v>16</v>
      </c>
      <c r="I93">
        <v>1322.658504</v>
      </c>
      <c r="J93">
        <v>8325.6586100000004</v>
      </c>
      <c r="K93">
        <v>-7451.903609</v>
      </c>
      <c r="L93">
        <v>531.78583300000003</v>
      </c>
      <c r="M93">
        <v>10366.993109999999</v>
      </c>
    </row>
    <row r="94" spans="1:13" x14ac:dyDescent="0.3">
      <c r="A94" t="s">
        <v>34</v>
      </c>
      <c r="B94" t="s">
        <v>35</v>
      </c>
      <c r="C94" t="s">
        <v>36</v>
      </c>
      <c r="D94">
        <v>448494</v>
      </c>
      <c r="E94">
        <v>39.99</v>
      </c>
      <c r="F94">
        <v>-82.88</v>
      </c>
      <c r="G94">
        <v>2022</v>
      </c>
      <c r="H94" t="s">
        <v>15</v>
      </c>
      <c r="I94">
        <v>1288.2418379999999</v>
      </c>
      <c r="J94">
        <v>8041.3166179999998</v>
      </c>
      <c r="K94">
        <v>-7883.9953150000001</v>
      </c>
      <c r="L94">
        <v>557.14969719999999</v>
      </c>
      <c r="M94">
        <v>10313.81702</v>
      </c>
    </row>
    <row r="95" spans="1:13" x14ac:dyDescent="0.3">
      <c r="A95" t="s">
        <v>34</v>
      </c>
      <c r="B95" t="s">
        <v>35</v>
      </c>
      <c r="C95" t="s">
        <v>36</v>
      </c>
      <c r="D95">
        <v>448494</v>
      </c>
      <c r="E95">
        <v>39.99</v>
      </c>
      <c r="F95">
        <v>-82.88</v>
      </c>
      <c r="G95">
        <v>2022</v>
      </c>
      <c r="H95" t="s">
        <v>16</v>
      </c>
      <c r="I95">
        <v>1331.0527500000001</v>
      </c>
      <c r="J95">
        <v>8312.8754769999996</v>
      </c>
      <c r="K95">
        <v>-7387.1354659999997</v>
      </c>
      <c r="L95">
        <v>514.33878560000005</v>
      </c>
      <c r="M95">
        <v>10313.81702</v>
      </c>
    </row>
    <row r="96" spans="1:13" x14ac:dyDescent="0.3">
      <c r="A96" t="s">
        <v>34</v>
      </c>
      <c r="B96" t="s">
        <v>35</v>
      </c>
      <c r="C96" t="s">
        <v>36</v>
      </c>
      <c r="D96">
        <v>448494</v>
      </c>
      <c r="E96">
        <v>39.99</v>
      </c>
      <c r="F96">
        <v>-82.88</v>
      </c>
      <c r="G96">
        <v>2023</v>
      </c>
      <c r="H96" t="s">
        <v>15</v>
      </c>
      <c r="I96">
        <v>1285.2368240000001</v>
      </c>
      <c r="J96">
        <v>8041.4198859999997</v>
      </c>
      <c r="K96">
        <v>-7913.1744090000002</v>
      </c>
      <c r="L96">
        <v>541.37868590000005</v>
      </c>
      <c r="M96">
        <v>10195.463519999999</v>
      </c>
    </row>
    <row r="97" spans="1:13" x14ac:dyDescent="0.3">
      <c r="A97" t="s">
        <v>34</v>
      </c>
      <c r="B97" t="s">
        <v>35</v>
      </c>
      <c r="C97" t="s">
        <v>36</v>
      </c>
      <c r="D97">
        <v>448494</v>
      </c>
      <c r="E97">
        <v>39.99</v>
      </c>
      <c r="F97">
        <v>-82.88</v>
      </c>
      <c r="G97">
        <v>2023</v>
      </c>
      <c r="H97" t="s">
        <v>16</v>
      </c>
      <c r="I97">
        <v>1306.911276</v>
      </c>
      <c r="J97">
        <v>8199.9396739999993</v>
      </c>
      <c r="K97">
        <v>-7650.1999880000003</v>
      </c>
      <c r="L97">
        <v>519.70423330000006</v>
      </c>
      <c r="M97">
        <v>10195.463519999999</v>
      </c>
    </row>
    <row r="98" spans="1:13" x14ac:dyDescent="0.3">
      <c r="A98" t="s">
        <v>37</v>
      </c>
      <c r="B98" t="s">
        <v>38</v>
      </c>
      <c r="C98" t="s">
        <v>39</v>
      </c>
      <c r="D98">
        <v>67263</v>
      </c>
      <c r="E98">
        <v>45.59</v>
      </c>
      <c r="F98">
        <v>-122.6</v>
      </c>
      <c r="G98">
        <v>2018</v>
      </c>
      <c r="H98" t="s">
        <v>15</v>
      </c>
      <c r="I98">
        <v>1408.885284</v>
      </c>
      <c r="J98">
        <v>7422.2742129999997</v>
      </c>
      <c r="K98">
        <v>-5495.7062340000002</v>
      </c>
      <c r="L98">
        <v>960.80383099999995</v>
      </c>
      <c r="M98">
        <v>11053.28635</v>
      </c>
    </row>
    <row r="99" spans="1:13" x14ac:dyDescent="0.3">
      <c r="A99" t="s">
        <v>37</v>
      </c>
      <c r="B99" t="s">
        <v>38</v>
      </c>
      <c r="C99" t="s">
        <v>39</v>
      </c>
      <c r="D99">
        <v>67263</v>
      </c>
      <c r="E99">
        <v>45.59</v>
      </c>
      <c r="F99">
        <v>-122.6</v>
      </c>
      <c r="G99">
        <v>2018</v>
      </c>
      <c r="H99" t="s">
        <v>16</v>
      </c>
      <c r="I99">
        <v>1415.759274</v>
      </c>
      <c r="J99">
        <v>7398.8096679999999</v>
      </c>
      <c r="K99">
        <v>-5473.9233270000004</v>
      </c>
      <c r="L99">
        <v>953.92984130000002</v>
      </c>
      <c r="M99">
        <v>11053.28635</v>
      </c>
    </row>
    <row r="100" spans="1:13" x14ac:dyDescent="0.3">
      <c r="A100" t="s">
        <v>37</v>
      </c>
      <c r="B100" t="s">
        <v>38</v>
      </c>
      <c r="C100" t="s">
        <v>39</v>
      </c>
      <c r="D100">
        <v>67263</v>
      </c>
      <c r="E100">
        <v>45.59</v>
      </c>
      <c r="F100">
        <v>-122.6</v>
      </c>
      <c r="G100">
        <v>2019</v>
      </c>
      <c r="H100" t="s">
        <v>15</v>
      </c>
      <c r="I100">
        <v>1361.4239170000001</v>
      </c>
      <c r="J100">
        <v>7429.3539030000002</v>
      </c>
      <c r="K100">
        <v>-5962.4612749999997</v>
      </c>
      <c r="L100">
        <v>965.76570589999994</v>
      </c>
      <c r="M100">
        <v>10917.66554</v>
      </c>
    </row>
    <row r="101" spans="1:13" x14ac:dyDescent="0.3">
      <c r="A101" t="s">
        <v>37</v>
      </c>
      <c r="B101" t="s">
        <v>38</v>
      </c>
      <c r="C101" t="s">
        <v>39</v>
      </c>
      <c r="D101">
        <v>67263</v>
      </c>
      <c r="E101">
        <v>45.59</v>
      </c>
      <c r="F101">
        <v>-122.6</v>
      </c>
      <c r="G101">
        <v>2019</v>
      </c>
      <c r="H101" t="s">
        <v>16</v>
      </c>
      <c r="I101">
        <v>1386.38024</v>
      </c>
      <c r="J101">
        <v>7258.8344280000001</v>
      </c>
      <c r="K101">
        <v>-5812.4697679999999</v>
      </c>
      <c r="L101">
        <v>940.8093834</v>
      </c>
      <c r="M101">
        <v>10917.66554</v>
      </c>
    </row>
    <row r="102" spans="1:13" x14ac:dyDescent="0.3">
      <c r="A102" t="s">
        <v>37</v>
      </c>
      <c r="B102" t="s">
        <v>38</v>
      </c>
      <c r="C102" t="s">
        <v>39</v>
      </c>
      <c r="D102">
        <v>67263</v>
      </c>
      <c r="E102">
        <v>45.59</v>
      </c>
      <c r="F102">
        <v>-122.6</v>
      </c>
      <c r="G102">
        <v>2020</v>
      </c>
      <c r="H102" t="s">
        <v>15</v>
      </c>
      <c r="I102">
        <v>1364.119702</v>
      </c>
      <c r="J102">
        <v>7427.7704409999997</v>
      </c>
      <c r="K102">
        <v>-6013.3450119999998</v>
      </c>
      <c r="L102">
        <v>935.48558279999997</v>
      </c>
      <c r="M102">
        <v>10761.716969999999</v>
      </c>
    </row>
    <row r="103" spans="1:13" x14ac:dyDescent="0.3">
      <c r="A103" t="s">
        <v>37</v>
      </c>
      <c r="B103" t="s">
        <v>38</v>
      </c>
      <c r="C103" t="s">
        <v>39</v>
      </c>
      <c r="D103">
        <v>67263</v>
      </c>
      <c r="E103">
        <v>45.59</v>
      </c>
      <c r="F103">
        <v>-122.6</v>
      </c>
      <c r="G103">
        <v>2020</v>
      </c>
      <c r="H103" t="s">
        <v>16</v>
      </c>
      <c r="I103">
        <v>1384.5514700000001</v>
      </c>
      <c r="J103">
        <v>7377.3231029999997</v>
      </c>
      <c r="K103">
        <v>-5853.0726500000001</v>
      </c>
      <c r="L103">
        <v>915.05381399999999</v>
      </c>
      <c r="M103">
        <v>10761.716969999999</v>
      </c>
    </row>
    <row r="104" spans="1:13" x14ac:dyDescent="0.3">
      <c r="A104" t="s">
        <v>37</v>
      </c>
      <c r="B104" t="s">
        <v>38</v>
      </c>
      <c r="C104" t="s">
        <v>39</v>
      </c>
      <c r="D104">
        <v>67263</v>
      </c>
      <c r="E104">
        <v>45.59</v>
      </c>
      <c r="F104">
        <v>-122.6</v>
      </c>
      <c r="G104">
        <v>2021</v>
      </c>
      <c r="H104" t="s">
        <v>15</v>
      </c>
      <c r="I104">
        <v>1445.87212</v>
      </c>
      <c r="J104">
        <v>7425.0109300000004</v>
      </c>
      <c r="K104">
        <v>-5147.3010599999998</v>
      </c>
      <c r="L104">
        <v>1011.779972</v>
      </c>
      <c r="M104">
        <v>11433.27685</v>
      </c>
    </row>
    <row r="105" spans="1:13" x14ac:dyDescent="0.3">
      <c r="A105" t="s">
        <v>37</v>
      </c>
      <c r="B105" t="s">
        <v>38</v>
      </c>
      <c r="C105" t="s">
        <v>39</v>
      </c>
      <c r="D105">
        <v>67263</v>
      </c>
      <c r="E105">
        <v>45.59</v>
      </c>
      <c r="F105">
        <v>-122.6</v>
      </c>
      <c r="G105">
        <v>2021</v>
      </c>
      <c r="H105" t="s">
        <v>16</v>
      </c>
      <c r="I105">
        <v>1448.6985850000001</v>
      </c>
      <c r="J105">
        <v>7549.4590289999996</v>
      </c>
      <c r="K105">
        <v>-5061.1268140000002</v>
      </c>
      <c r="L105">
        <v>1008.9535069999999</v>
      </c>
      <c r="M105">
        <v>11433.27685</v>
      </c>
    </row>
    <row r="106" spans="1:13" x14ac:dyDescent="0.3">
      <c r="A106" t="s">
        <v>37</v>
      </c>
      <c r="B106" t="s">
        <v>38</v>
      </c>
      <c r="C106" t="s">
        <v>39</v>
      </c>
      <c r="D106">
        <v>67263</v>
      </c>
      <c r="E106">
        <v>45.59</v>
      </c>
      <c r="F106">
        <v>-122.6</v>
      </c>
      <c r="G106">
        <v>2022</v>
      </c>
      <c r="H106" t="s">
        <v>15</v>
      </c>
      <c r="I106">
        <v>1434.5589540000001</v>
      </c>
      <c r="J106">
        <v>7429.3166899999997</v>
      </c>
      <c r="K106">
        <v>-5306.6680560000004</v>
      </c>
      <c r="L106">
        <v>1004.143229</v>
      </c>
      <c r="M106">
        <v>11373.10541</v>
      </c>
    </row>
    <row r="107" spans="1:13" x14ac:dyDescent="0.3">
      <c r="A107" t="s">
        <v>37</v>
      </c>
      <c r="B107" t="s">
        <v>38</v>
      </c>
      <c r="C107" t="s">
        <v>39</v>
      </c>
      <c r="D107">
        <v>67263</v>
      </c>
      <c r="E107">
        <v>45.59</v>
      </c>
      <c r="F107">
        <v>-122.6</v>
      </c>
      <c r="G107">
        <v>2022</v>
      </c>
      <c r="H107" t="s">
        <v>16</v>
      </c>
      <c r="I107">
        <v>1477.219047</v>
      </c>
      <c r="J107">
        <v>7490.6423189999996</v>
      </c>
      <c r="K107">
        <v>-4895.7570219999998</v>
      </c>
      <c r="L107">
        <v>961.48313610000002</v>
      </c>
      <c r="M107">
        <v>11373.10541</v>
      </c>
    </row>
    <row r="108" spans="1:13" x14ac:dyDescent="0.3">
      <c r="A108" t="s">
        <v>37</v>
      </c>
      <c r="B108" t="s">
        <v>38</v>
      </c>
      <c r="C108" t="s">
        <v>39</v>
      </c>
      <c r="D108">
        <v>67263</v>
      </c>
      <c r="E108">
        <v>45.59</v>
      </c>
      <c r="F108">
        <v>-122.6</v>
      </c>
      <c r="G108">
        <v>2023</v>
      </c>
      <c r="H108" t="s">
        <v>15</v>
      </c>
      <c r="I108">
        <v>1420.1308489999999</v>
      </c>
      <c r="J108">
        <v>7424.0151830000004</v>
      </c>
      <c r="K108">
        <v>-5339.3233980000005</v>
      </c>
      <c r="L108">
        <v>998.61379109999996</v>
      </c>
      <c r="M108">
        <v>11288.59066</v>
      </c>
    </row>
    <row r="109" spans="1:13" x14ac:dyDescent="0.3">
      <c r="A109" t="s">
        <v>37</v>
      </c>
      <c r="B109" t="s">
        <v>38</v>
      </c>
      <c r="C109" t="s">
        <v>39</v>
      </c>
      <c r="D109">
        <v>67263</v>
      </c>
      <c r="E109">
        <v>45.59</v>
      </c>
      <c r="F109">
        <v>-122.6</v>
      </c>
      <c r="G109">
        <v>2023</v>
      </c>
      <c r="H109" t="s">
        <v>16</v>
      </c>
      <c r="I109">
        <v>1437.9945299999999</v>
      </c>
      <c r="J109">
        <v>7652.9868939999997</v>
      </c>
      <c r="K109">
        <v>-5125.7811830000001</v>
      </c>
      <c r="L109">
        <v>980.75011059999997</v>
      </c>
      <c r="M109">
        <v>11288.59066</v>
      </c>
    </row>
    <row r="110" spans="1:13" x14ac:dyDescent="0.3">
      <c r="A110" t="s">
        <v>40</v>
      </c>
      <c r="B110" t="s">
        <v>41</v>
      </c>
      <c r="C110" t="s">
        <v>25</v>
      </c>
      <c r="D110">
        <v>168160</v>
      </c>
      <c r="E110">
        <v>35.22</v>
      </c>
      <c r="F110">
        <v>-101.71</v>
      </c>
      <c r="G110">
        <v>2018</v>
      </c>
      <c r="H110" t="s">
        <v>15</v>
      </c>
      <c r="I110">
        <v>1134.738771</v>
      </c>
      <c r="J110">
        <v>10965.33281</v>
      </c>
      <c r="K110">
        <v>-8986.2838530000008</v>
      </c>
      <c r="L110">
        <v>253.17885459999999</v>
      </c>
      <c r="M110">
        <v>11793.42223</v>
      </c>
    </row>
    <row r="111" spans="1:13" x14ac:dyDescent="0.3">
      <c r="A111" t="s">
        <v>40</v>
      </c>
      <c r="B111" t="s">
        <v>41</v>
      </c>
      <c r="C111" t="s">
        <v>25</v>
      </c>
      <c r="D111">
        <v>168160</v>
      </c>
      <c r="E111">
        <v>35.22</v>
      </c>
      <c r="F111">
        <v>-101.71</v>
      </c>
      <c r="G111">
        <v>2018</v>
      </c>
      <c r="H111" t="s">
        <v>16</v>
      </c>
      <c r="I111">
        <v>1151.396626</v>
      </c>
      <c r="J111">
        <v>10863.673290000001</v>
      </c>
      <c r="K111">
        <v>-9045.1283729999996</v>
      </c>
      <c r="L111">
        <v>236.5209989</v>
      </c>
      <c r="M111">
        <v>11793.42223</v>
      </c>
    </row>
    <row r="112" spans="1:13" x14ac:dyDescent="0.3">
      <c r="A112" t="s">
        <v>40</v>
      </c>
      <c r="B112" t="s">
        <v>41</v>
      </c>
      <c r="C112" t="s">
        <v>25</v>
      </c>
      <c r="D112">
        <v>168160</v>
      </c>
      <c r="E112">
        <v>35.22</v>
      </c>
      <c r="F112">
        <v>-101.71</v>
      </c>
      <c r="G112">
        <v>2019</v>
      </c>
      <c r="H112" t="s">
        <v>15</v>
      </c>
      <c r="I112">
        <v>1136.3135830000001</v>
      </c>
      <c r="J112">
        <v>10973.095600000001</v>
      </c>
      <c r="K112">
        <v>-8926.2019070000006</v>
      </c>
      <c r="L112">
        <v>233.99434650000001</v>
      </c>
      <c r="M112">
        <v>11495.724329999999</v>
      </c>
    </row>
    <row r="113" spans="1:13" x14ac:dyDescent="0.3">
      <c r="A113" t="s">
        <v>40</v>
      </c>
      <c r="B113" t="s">
        <v>41</v>
      </c>
      <c r="C113" t="s">
        <v>25</v>
      </c>
      <c r="D113">
        <v>168160</v>
      </c>
      <c r="E113">
        <v>35.22</v>
      </c>
      <c r="F113">
        <v>-101.71</v>
      </c>
      <c r="G113">
        <v>2019</v>
      </c>
      <c r="H113" t="s">
        <v>16</v>
      </c>
      <c r="I113">
        <v>1115.540696</v>
      </c>
      <c r="J113">
        <v>10700.20134</v>
      </c>
      <c r="K113">
        <v>-9182.6860410000008</v>
      </c>
      <c r="L113">
        <v>254.76723340000001</v>
      </c>
      <c r="M113">
        <v>11495.724329999999</v>
      </c>
    </row>
    <row r="114" spans="1:13" x14ac:dyDescent="0.3">
      <c r="A114" t="s">
        <v>40</v>
      </c>
      <c r="B114" t="s">
        <v>41</v>
      </c>
      <c r="C114" t="s">
        <v>25</v>
      </c>
      <c r="D114">
        <v>168160</v>
      </c>
      <c r="E114">
        <v>35.22</v>
      </c>
      <c r="F114">
        <v>-101.71</v>
      </c>
      <c r="G114">
        <v>2020</v>
      </c>
      <c r="H114" t="s">
        <v>15</v>
      </c>
      <c r="I114">
        <v>1156.2578550000001</v>
      </c>
      <c r="J114">
        <v>10968.28844</v>
      </c>
      <c r="K114">
        <v>-8853.1678319999992</v>
      </c>
      <c r="L114">
        <v>244.71001369999999</v>
      </c>
      <c r="M114">
        <v>11841.67535</v>
      </c>
    </row>
    <row r="115" spans="1:13" x14ac:dyDescent="0.3">
      <c r="A115" t="s">
        <v>40</v>
      </c>
      <c r="B115" t="s">
        <v>41</v>
      </c>
      <c r="C115" t="s">
        <v>25</v>
      </c>
      <c r="D115">
        <v>168160</v>
      </c>
      <c r="E115">
        <v>35.22</v>
      </c>
      <c r="F115">
        <v>-101.71</v>
      </c>
      <c r="G115">
        <v>2020</v>
      </c>
      <c r="H115" t="s">
        <v>16</v>
      </c>
      <c r="I115">
        <v>1162.715944</v>
      </c>
      <c r="J115">
        <v>11123.58375</v>
      </c>
      <c r="K115">
        <v>-8718.2175819999993</v>
      </c>
      <c r="L115">
        <v>238.25192430000001</v>
      </c>
      <c r="M115">
        <v>11841.67535</v>
      </c>
    </row>
    <row r="116" spans="1:13" x14ac:dyDescent="0.3">
      <c r="A116" t="s">
        <v>40</v>
      </c>
      <c r="B116" t="s">
        <v>41</v>
      </c>
      <c r="C116" t="s">
        <v>25</v>
      </c>
      <c r="D116">
        <v>168160</v>
      </c>
      <c r="E116">
        <v>35.22</v>
      </c>
      <c r="F116">
        <v>-101.71</v>
      </c>
      <c r="G116">
        <v>2021</v>
      </c>
      <c r="H116" t="s">
        <v>15</v>
      </c>
      <c r="I116">
        <v>1132.273418</v>
      </c>
      <c r="J116">
        <v>10971.019759999999</v>
      </c>
      <c r="K116">
        <v>-9066.2935390000002</v>
      </c>
      <c r="L116">
        <v>222.01955129999999</v>
      </c>
      <c r="M116">
        <v>11437.47107</v>
      </c>
    </row>
    <row r="117" spans="1:13" x14ac:dyDescent="0.3">
      <c r="A117" t="s">
        <v>40</v>
      </c>
      <c r="B117" t="s">
        <v>41</v>
      </c>
      <c r="C117" t="s">
        <v>25</v>
      </c>
      <c r="D117">
        <v>168160</v>
      </c>
      <c r="E117">
        <v>35.22</v>
      </c>
      <c r="F117">
        <v>-101.71</v>
      </c>
      <c r="G117">
        <v>2021</v>
      </c>
      <c r="H117" t="s">
        <v>16</v>
      </c>
      <c r="I117">
        <v>1124.1922489999999</v>
      </c>
      <c r="J117">
        <v>10996.18865</v>
      </c>
      <c r="K117">
        <v>-9049.8139260000007</v>
      </c>
      <c r="L117">
        <v>230.10072030000001</v>
      </c>
      <c r="M117">
        <v>11437.47107</v>
      </c>
    </row>
    <row r="118" spans="1:13" x14ac:dyDescent="0.3">
      <c r="A118" t="s">
        <v>40</v>
      </c>
      <c r="B118" t="s">
        <v>41</v>
      </c>
      <c r="C118" t="s">
        <v>25</v>
      </c>
      <c r="D118">
        <v>168160</v>
      </c>
      <c r="E118">
        <v>35.22</v>
      </c>
      <c r="F118">
        <v>-101.71</v>
      </c>
      <c r="G118">
        <v>2022</v>
      </c>
      <c r="H118" t="s">
        <v>15</v>
      </c>
      <c r="I118">
        <v>1152.0380709999999</v>
      </c>
      <c r="J118">
        <v>10966.328600000001</v>
      </c>
      <c r="K118">
        <v>-8831.7968619999992</v>
      </c>
      <c r="L118">
        <v>282.80417779999999</v>
      </c>
      <c r="M118">
        <v>12232.562309999999</v>
      </c>
    </row>
    <row r="119" spans="1:13" x14ac:dyDescent="0.3">
      <c r="A119" t="s">
        <v>40</v>
      </c>
      <c r="B119" t="s">
        <v>41</v>
      </c>
      <c r="C119" t="s">
        <v>25</v>
      </c>
      <c r="D119">
        <v>168160</v>
      </c>
      <c r="E119">
        <v>35.22</v>
      </c>
      <c r="F119">
        <v>-101.71</v>
      </c>
      <c r="G119">
        <v>2022</v>
      </c>
      <c r="H119" t="s">
        <v>16</v>
      </c>
      <c r="I119">
        <v>1186.8080440000001</v>
      </c>
      <c r="J119">
        <v>11193.33468</v>
      </c>
      <c r="K119">
        <v>-8607.9776129999991</v>
      </c>
      <c r="L119">
        <v>248.0342052</v>
      </c>
      <c r="M119">
        <v>12232.562309999999</v>
      </c>
    </row>
    <row r="120" spans="1:13" x14ac:dyDescent="0.3">
      <c r="A120" t="s">
        <v>40</v>
      </c>
      <c r="B120" t="s">
        <v>41</v>
      </c>
      <c r="C120" t="s">
        <v>25</v>
      </c>
      <c r="D120">
        <v>168160</v>
      </c>
      <c r="E120">
        <v>35.22</v>
      </c>
      <c r="F120">
        <v>-101.71</v>
      </c>
      <c r="G120">
        <v>2023</v>
      </c>
      <c r="H120" t="s">
        <v>15</v>
      </c>
      <c r="I120">
        <v>1150.032921</v>
      </c>
      <c r="J120">
        <v>10974.855659999999</v>
      </c>
      <c r="K120">
        <v>-8951.2877000000008</v>
      </c>
      <c r="L120">
        <v>247.05818450000001</v>
      </c>
      <c r="M120">
        <v>11854.743329999999</v>
      </c>
    </row>
    <row r="121" spans="1:13" x14ac:dyDescent="0.3">
      <c r="A121" t="s">
        <v>40</v>
      </c>
      <c r="B121" t="s">
        <v>41</v>
      </c>
      <c r="C121" t="s">
        <v>25</v>
      </c>
      <c r="D121">
        <v>168160</v>
      </c>
      <c r="E121">
        <v>35.22</v>
      </c>
      <c r="F121">
        <v>-101.71</v>
      </c>
      <c r="G121">
        <v>2023</v>
      </c>
      <c r="H121" t="s">
        <v>16</v>
      </c>
      <c r="I121">
        <v>1151.923503</v>
      </c>
      <c r="J121">
        <v>11138.773660000001</v>
      </c>
      <c r="K121">
        <v>-8825.8210429999999</v>
      </c>
      <c r="L121">
        <v>245.1676023</v>
      </c>
      <c r="M121">
        <v>11854.743329999999</v>
      </c>
    </row>
    <row r="122" spans="1:13" x14ac:dyDescent="0.3">
      <c r="A122" t="s">
        <v>42</v>
      </c>
      <c r="B122" t="s">
        <v>43</v>
      </c>
      <c r="C122" t="s">
        <v>44</v>
      </c>
      <c r="D122">
        <v>1652</v>
      </c>
      <c r="E122">
        <v>44.47</v>
      </c>
      <c r="F122">
        <v>-73.150000000000006</v>
      </c>
      <c r="G122">
        <v>2018</v>
      </c>
      <c r="H122" t="s">
        <v>15</v>
      </c>
      <c r="I122">
        <v>1554.479182</v>
      </c>
      <c r="J122">
        <v>7731.4631890000001</v>
      </c>
      <c r="K122">
        <v>-4791.2674619999998</v>
      </c>
      <c r="L122">
        <v>942.78054589999999</v>
      </c>
      <c r="M122">
        <v>11230.82893</v>
      </c>
    </row>
    <row r="123" spans="1:13" x14ac:dyDescent="0.3">
      <c r="A123" t="s">
        <v>42</v>
      </c>
      <c r="B123" t="s">
        <v>43</v>
      </c>
      <c r="C123" t="s">
        <v>44</v>
      </c>
      <c r="D123">
        <v>1652</v>
      </c>
      <c r="E123">
        <v>44.47</v>
      </c>
      <c r="F123">
        <v>-73.150000000000006</v>
      </c>
      <c r="G123">
        <v>2018</v>
      </c>
      <c r="H123" t="s">
        <v>16</v>
      </c>
      <c r="I123">
        <v>1508.9474749999999</v>
      </c>
      <c r="J123">
        <v>7479.6607999999997</v>
      </c>
      <c r="K123">
        <v>-5322.6650179999997</v>
      </c>
      <c r="L123">
        <v>988.31225219999999</v>
      </c>
      <c r="M123">
        <v>11230.82893</v>
      </c>
    </row>
    <row r="124" spans="1:13" x14ac:dyDescent="0.3">
      <c r="A124" t="s">
        <v>42</v>
      </c>
      <c r="B124" t="s">
        <v>43</v>
      </c>
      <c r="C124" t="s">
        <v>44</v>
      </c>
      <c r="D124">
        <v>1652</v>
      </c>
      <c r="E124">
        <v>44.47</v>
      </c>
      <c r="F124">
        <v>-73.150000000000006</v>
      </c>
      <c r="G124">
        <v>2019</v>
      </c>
      <c r="H124" t="s">
        <v>15</v>
      </c>
      <c r="I124">
        <v>1551.0515479999999</v>
      </c>
      <c r="J124">
        <v>7734.1134949999996</v>
      </c>
      <c r="K124">
        <v>-4835.2138510000004</v>
      </c>
      <c r="L124">
        <v>934.28401610000003</v>
      </c>
      <c r="M124">
        <v>11180.767900000001</v>
      </c>
    </row>
    <row r="125" spans="1:13" x14ac:dyDescent="0.3">
      <c r="A125" t="s">
        <v>42</v>
      </c>
      <c r="B125" t="s">
        <v>43</v>
      </c>
      <c r="C125" t="s">
        <v>44</v>
      </c>
      <c r="D125">
        <v>1652</v>
      </c>
      <c r="E125">
        <v>44.47</v>
      </c>
      <c r="F125">
        <v>-73.150000000000006</v>
      </c>
      <c r="G125">
        <v>2019</v>
      </c>
      <c r="H125" t="s">
        <v>16</v>
      </c>
      <c r="I125">
        <v>1550.68228</v>
      </c>
      <c r="J125">
        <v>7653.9703639999998</v>
      </c>
      <c r="K125">
        <v>-4828.95381</v>
      </c>
      <c r="L125">
        <v>934.65328399999999</v>
      </c>
      <c r="M125">
        <v>11180.767900000001</v>
      </c>
    </row>
    <row r="126" spans="1:13" x14ac:dyDescent="0.3">
      <c r="A126" t="s">
        <v>42</v>
      </c>
      <c r="B126" t="s">
        <v>43</v>
      </c>
      <c r="C126" t="s">
        <v>44</v>
      </c>
      <c r="D126">
        <v>1652</v>
      </c>
      <c r="E126">
        <v>44.47</v>
      </c>
      <c r="F126">
        <v>-73.150000000000006</v>
      </c>
      <c r="G126">
        <v>2020</v>
      </c>
      <c r="H126" t="s">
        <v>15</v>
      </c>
      <c r="I126">
        <v>1555.0091970000001</v>
      </c>
      <c r="J126">
        <v>7730.8743750000003</v>
      </c>
      <c r="K126">
        <v>-4799.8268399999997</v>
      </c>
      <c r="L126">
        <v>913.69075420000001</v>
      </c>
      <c r="M126">
        <v>11078.54061</v>
      </c>
    </row>
    <row r="127" spans="1:13" x14ac:dyDescent="0.3">
      <c r="A127" t="s">
        <v>42</v>
      </c>
      <c r="B127" t="s">
        <v>43</v>
      </c>
      <c r="C127" t="s">
        <v>44</v>
      </c>
      <c r="D127">
        <v>1652</v>
      </c>
      <c r="E127">
        <v>44.47</v>
      </c>
      <c r="F127">
        <v>-73.150000000000006</v>
      </c>
      <c r="G127">
        <v>2020</v>
      </c>
      <c r="H127" t="s">
        <v>16</v>
      </c>
      <c r="I127">
        <v>1512.4100249999999</v>
      </c>
      <c r="J127">
        <v>7489.5037089999996</v>
      </c>
      <c r="K127">
        <v>-5258.8773860000001</v>
      </c>
      <c r="L127">
        <v>956.28992670000002</v>
      </c>
      <c r="M127">
        <v>11078.54061</v>
      </c>
    </row>
    <row r="128" spans="1:13" x14ac:dyDescent="0.3">
      <c r="A128" t="s">
        <v>42</v>
      </c>
      <c r="B128" t="s">
        <v>43</v>
      </c>
      <c r="C128" t="s">
        <v>44</v>
      </c>
      <c r="D128">
        <v>1652</v>
      </c>
      <c r="E128">
        <v>44.47</v>
      </c>
      <c r="F128">
        <v>-73.150000000000006</v>
      </c>
      <c r="G128">
        <v>2021</v>
      </c>
      <c r="H128" t="s">
        <v>15</v>
      </c>
      <c r="I128">
        <v>1553.4812480000001</v>
      </c>
      <c r="J128">
        <v>7732.4788490000001</v>
      </c>
      <c r="K128">
        <v>-4805.2125539999997</v>
      </c>
      <c r="L128">
        <v>917.08089370000005</v>
      </c>
      <c r="M128">
        <v>11087.89157</v>
      </c>
    </row>
    <row r="129" spans="1:13" x14ac:dyDescent="0.3">
      <c r="A129" t="s">
        <v>42</v>
      </c>
      <c r="B129" t="s">
        <v>43</v>
      </c>
      <c r="C129" t="s">
        <v>44</v>
      </c>
      <c r="D129">
        <v>1652</v>
      </c>
      <c r="E129">
        <v>44.47</v>
      </c>
      <c r="F129">
        <v>-73.150000000000006</v>
      </c>
      <c r="G129">
        <v>2021</v>
      </c>
      <c r="H129" t="s">
        <v>16</v>
      </c>
      <c r="I129">
        <v>1534.895113</v>
      </c>
      <c r="J129">
        <v>7516.8625089999996</v>
      </c>
      <c r="K129">
        <v>-4986.5660829999997</v>
      </c>
      <c r="L129">
        <v>935.66702850000001</v>
      </c>
      <c r="M129">
        <v>11087.89157</v>
      </c>
    </row>
    <row r="130" spans="1:13" x14ac:dyDescent="0.3">
      <c r="A130" t="s">
        <v>42</v>
      </c>
      <c r="B130" t="s">
        <v>43</v>
      </c>
      <c r="C130" t="s">
        <v>44</v>
      </c>
      <c r="D130">
        <v>1652</v>
      </c>
      <c r="E130">
        <v>44.47</v>
      </c>
      <c r="F130">
        <v>-73.150000000000006</v>
      </c>
      <c r="G130">
        <v>2022</v>
      </c>
      <c r="H130" t="s">
        <v>15</v>
      </c>
      <c r="I130">
        <v>1553.363194</v>
      </c>
      <c r="J130">
        <v>7731.9289710000003</v>
      </c>
      <c r="K130">
        <v>-4803.8073009999998</v>
      </c>
      <c r="L130">
        <v>927.96657579999999</v>
      </c>
      <c r="M130">
        <v>11140.047280000001</v>
      </c>
    </row>
    <row r="131" spans="1:13" x14ac:dyDescent="0.3">
      <c r="A131" t="s">
        <v>42</v>
      </c>
      <c r="B131" t="s">
        <v>43</v>
      </c>
      <c r="C131" t="s">
        <v>44</v>
      </c>
      <c r="D131">
        <v>1652</v>
      </c>
      <c r="E131">
        <v>44.47</v>
      </c>
      <c r="F131">
        <v>-73.150000000000006</v>
      </c>
      <c r="G131">
        <v>2022</v>
      </c>
      <c r="H131" t="s">
        <v>16</v>
      </c>
      <c r="I131">
        <v>1586.5723250000001</v>
      </c>
      <c r="J131">
        <v>7775.7468859999999</v>
      </c>
      <c r="K131">
        <v>-4411.3089710000004</v>
      </c>
      <c r="L131">
        <v>894.75744399999996</v>
      </c>
      <c r="M131">
        <v>11140.047280000001</v>
      </c>
    </row>
    <row r="132" spans="1:13" x14ac:dyDescent="0.3">
      <c r="A132" t="s">
        <v>42</v>
      </c>
      <c r="B132" t="s">
        <v>43</v>
      </c>
      <c r="C132" t="s">
        <v>44</v>
      </c>
      <c r="D132">
        <v>1652</v>
      </c>
      <c r="E132">
        <v>44.47</v>
      </c>
      <c r="F132">
        <v>-73.150000000000006</v>
      </c>
      <c r="G132">
        <v>2023</v>
      </c>
      <c r="H132" t="s">
        <v>15</v>
      </c>
      <c r="I132">
        <v>1551.244109</v>
      </c>
      <c r="J132">
        <v>7734.6013670000002</v>
      </c>
      <c r="K132">
        <v>-4818.9856090000003</v>
      </c>
      <c r="L132">
        <v>913.96612340000001</v>
      </c>
      <c r="M132">
        <v>11053.55127</v>
      </c>
    </row>
    <row r="133" spans="1:13" x14ac:dyDescent="0.3">
      <c r="A133" t="s">
        <v>42</v>
      </c>
      <c r="B133" t="s">
        <v>43</v>
      </c>
      <c r="C133" t="s">
        <v>44</v>
      </c>
      <c r="D133">
        <v>1652</v>
      </c>
      <c r="E133">
        <v>44.47</v>
      </c>
      <c r="F133">
        <v>-73.150000000000006</v>
      </c>
      <c r="G133">
        <v>2023</v>
      </c>
      <c r="H133" t="s">
        <v>16</v>
      </c>
      <c r="I133">
        <v>1394.783418</v>
      </c>
      <c r="J133">
        <v>6911.2125910000004</v>
      </c>
      <c r="K133">
        <v>-6631.1260329999996</v>
      </c>
      <c r="L133">
        <v>1070.426813</v>
      </c>
      <c r="M133">
        <v>11053.55127</v>
      </c>
    </row>
    <row r="134" spans="1:13" x14ac:dyDescent="0.3">
      <c r="A134" t="s">
        <v>45</v>
      </c>
      <c r="B134" t="s">
        <v>46</v>
      </c>
      <c r="C134" t="s">
        <v>47</v>
      </c>
      <c r="D134">
        <v>467842</v>
      </c>
      <c r="E134">
        <v>42.95</v>
      </c>
      <c r="F134">
        <v>-87.9</v>
      </c>
      <c r="G134">
        <v>2018</v>
      </c>
      <c r="H134" t="s">
        <v>15</v>
      </c>
      <c r="I134">
        <v>1386.0752279999999</v>
      </c>
      <c r="J134">
        <v>8288.6968780000007</v>
      </c>
      <c r="K134">
        <v>-6629.0842240000002</v>
      </c>
      <c r="L134">
        <v>470.68929420000001</v>
      </c>
      <c r="M134">
        <v>10793.26002</v>
      </c>
    </row>
    <row r="135" spans="1:13" x14ac:dyDescent="0.3">
      <c r="A135" t="s">
        <v>45</v>
      </c>
      <c r="B135" t="s">
        <v>46</v>
      </c>
      <c r="C135" t="s">
        <v>47</v>
      </c>
      <c r="D135">
        <v>467842</v>
      </c>
      <c r="E135">
        <v>42.95</v>
      </c>
      <c r="F135">
        <v>-87.9</v>
      </c>
      <c r="G135">
        <v>2018</v>
      </c>
      <c r="H135" t="s">
        <v>16</v>
      </c>
      <c r="I135">
        <v>1383.5396069999999</v>
      </c>
      <c r="J135">
        <v>8257.9320979999993</v>
      </c>
      <c r="K135">
        <v>-6677.1842139999999</v>
      </c>
      <c r="L135">
        <v>473.2249147</v>
      </c>
      <c r="M135">
        <v>10793.26002</v>
      </c>
    </row>
    <row r="136" spans="1:13" x14ac:dyDescent="0.3">
      <c r="A136" t="s">
        <v>45</v>
      </c>
      <c r="B136" t="s">
        <v>46</v>
      </c>
      <c r="C136" t="s">
        <v>47</v>
      </c>
      <c r="D136">
        <v>467842</v>
      </c>
      <c r="E136">
        <v>42.95</v>
      </c>
      <c r="F136">
        <v>-87.9</v>
      </c>
      <c r="G136">
        <v>2019</v>
      </c>
      <c r="H136" t="s">
        <v>15</v>
      </c>
      <c r="I136">
        <v>1354.207868</v>
      </c>
      <c r="J136">
        <v>8288.0880039999993</v>
      </c>
      <c r="K136">
        <v>-7007.4851099999996</v>
      </c>
      <c r="L136">
        <v>433.75558869999998</v>
      </c>
      <c r="M136">
        <v>10393.32359</v>
      </c>
    </row>
    <row r="137" spans="1:13" x14ac:dyDescent="0.3">
      <c r="A137" t="s">
        <v>45</v>
      </c>
      <c r="B137" t="s">
        <v>46</v>
      </c>
      <c r="C137" t="s">
        <v>47</v>
      </c>
      <c r="D137">
        <v>467842</v>
      </c>
      <c r="E137">
        <v>42.95</v>
      </c>
      <c r="F137">
        <v>-87.9</v>
      </c>
      <c r="G137">
        <v>2019</v>
      </c>
      <c r="H137" t="s">
        <v>16</v>
      </c>
      <c r="I137">
        <v>1325.5970870000001</v>
      </c>
      <c r="J137">
        <v>7828.0467799999997</v>
      </c>
      <c r="K137">
        <v>-7389.9948139999997</v>
      </c>
      <c r="L137">
        <v>462.36636929999997</v>
      </c>
      <c r="M137">
        <v>10393.32359</v>
      </c>
    </row>
    <row r="138" spans="1:13" x14ac:dyDescent="0.3">
      <c r="A138" t="s">
        <v>45</v>
      </c>
      <c r="B138" t="s">
        <v>46</v>
      </c>
      <c r="C138" t="s">
        <v>47</v>
      </c>
      <c r="D138">
        <v>467842</v>
      </c>
      <c r="E138">
        <v>42.95</v>
      </c>
      <c r="F138">
        <v>-87.9</v>
      </c>
      <c r="G138">
        <v>2020</v>
      </c>
      <c r="H138" t="s">
        <v>15</v>
      </c>
      <c r="I138">
        <v>1383.4480860000001</v>
      </c>
      <c r="J138">
        <v>8290.6507619999993</v>
      </c>
      <c r="K138">
        <v>-6688.2304489999997</v>
      </c>
      <c r="L138">
        <v>447.1039414</v>
      </c>
      <c r="M138">
        <v>10640.88838</v>
      </c>
    </row>
    <row r="139" spans="1:13" x14ac:dyDescent="0.3">
      <c r="A139" t="s">
        <v>45</v>
      </c>
      <c r="B139" t="s">
        <v>46</v>
      </c>
      <c r="C139" t="s">
        <v>47</v>
      </c>
      <c r="D139">
        <v>467842</v>
      </c>
      <c r="E139">
        <v>42.95</v>
      </c>
      <c r="F139">
        <v>-87.9</v>
      </c>
      <c r="G139">
        <v>2020</v>
      </c>
      <c r="H139" t="s">
        <v>16</v>
      </c>
      <c r="I139">
        <v>1381.9242899999999</v>
      </c>
      <c r="J139">
        <v>8307.0955130000002</v>
      </c>
      <c r="K139">
        <v>-6685.9650590000001</v>
      </c>
      <c r="L139">
        <v>448.62773709999999</v>
      </c>
      <c r="M139">
        <v>10640.88838</v>
      </c>
    </row>
    <row r="140" spans="1:13" x14ac:dyDescent="0.3">
      <c r="A140" t="s">
        <v>45</v>
      </c>
      <c r="B140" t="s">
        <v>46</v>
      </c>
      <c r="C140" t="s">
        <v>47</v>
      </c>
      <c r="D140">
        <v>467842</v>
      </c>
      <c r="E140">
        <v>42.95</v>
      </c>
      <c r="F140">
        <v>-87.9</v>
      </c>
      <c r="G140">
        <v>2021</v>
      </c>
      <c r="H140" t="s">
        <v>15</v>
      </c>
      <c r="I140">
        <v>1389.451474</v>
      </c>
      <c r="J140">
        <v>8291.1476679999996</v>
      </c>
      <c r="K140">
        <v>-6657.0976799999999</v>
      </c>
      <c r="L140">
        <v>493.04590999999999</v>
      </c>
      <c r="M140">
        <v>10942.8436</v>
      </c>
    </row>
    <row r="141" spans="1:13" x14ac:dyDescent="0.3">
      <c r="A141" t="s">
        <v>45</v>
      </c>
      <c r="B141" t="s">
        <v>46</v>
      </c>
      <c r="C141" t="s">
        <v>47</v>
      </c>
      <c r="D141">
        <v>467842</v>
      </c>
      <c r="E141">
        <v>42.95</v>
      </c>
      <c r="F141">
        <v>-87.9</v>
      </c>
      <c r="G141">
        <v>2021</v>
      </c>
      <c r="H141" t="s">
        <v>16</v>
      </c>
      <c r="I141">
        <v>1410.9046679999999</v>
      </c>
      <c r="J141">
        <v>8447.1493169999994</v>
      </c>
      <c r="K141">
        <v>-6386.9982870000003</v>
      </c>
      <c r="L141">
        <v>471.592716</v>
      </c>
      <c r="M141">
        <v>10942.8436</v>
      </c>
    </row>
    <row r="142" spans="1:13" x14ac:dyDescent="0.3">
      <c r="A142" t="s">
        <v>45</v>
      </c>
      <c r="B142" t="s">
        <v>46</v>
      </c>
      <c r="C142" t="s">
        <v>47</v>
      </c>
      <c r="D142">
        <v>467842</v>
      </c>
      <c r="E142">
        <v>42.95</v>
      </c>
      <c r="F142">
        <v>-87.9</v>
      </c>
      <c r="G142">
        <v>2022</v>
      </c>
      <c r="H142" t="s">
        <v>15</v>
      </c>
      <c r="I142">
        <v>1390.1183470000001</v>
      </c>
      <c r="J142">
        <v>8289.2601880000002</v>
      </c>
      <c r="K142">
        <v>-6618.3593170000004</v>
      </c>
      <c r="L142">
        <v>464.24673840000003</v>
      </c>
      <c r="M142">
        <v>10779.312239999999</v>
      </c>
    </row>
    <row r="143" spans="1:13" x14ac:dyDescent="0.3">
      <c r="A143" t="s">
        <v>45</v>
      </c>
      <c r="B143" t="s">
        <v>46</v>
      </c>
      <c r="C143" t="s">
        <v>47</v>
      </c>
      <c r="D143">
        <v>467842</v>
      </c>
      <c r="E143">
        <v>42.95</v>
      </c>
      <c r="F143">
        <v>-87.9</v>
      </c>
      <c r="G143">
        <v>2022</v>
      </c>
      <c r="H143" t="s">
        <v>16</v>
      </c>
      <c r="I143">
        <v>1362.690245</v>
      </c>
      <c r="J143">
        <v>7997.2314150000002</v>
      </c>
      <c r="K143">
        <v>-6976.7739700000002</v>
      </c>
      <c r="L143">
        <v>491.67484050000002</v>
      </c>
      <c r="M143">
        <v>10779.312239999999</v>
      </c>
    </row>
    <row r="144" spans="1:13" x14ac:dyDescent="0.3">
      <c r="A144" t="s">
        <v>45</v>
      </c>
      <c r="B144" t="s">
        <v>46</v>
      </c>
      <c r="C144" t="s">
        <v>47</v>
      </c>
      <c r="D144">
        <v>467842</v>
      </c>
      <c r="E144">
        <v>42.95</v>
      </c>
      <c r="F144">
        <v>-87.9</v>
      </c>
      <c r="G144">
        <v>2023</v>
      </c>
      <c r="H144" t="s">
        <v>15</v>
      </c>
      <c r="I144">
        <v>1387.0006519999999</v>
      </c>
      <c r="J144">
        <v>8289.3221809999995</v>
      </c>
      <c r="K144">
        <v>-6637.805429</v>
      </c>
      <c r="L144">
        <v>456.2323624</v>
      </c>
      <c r="M144">
        <v>10714.60219</v>
      </c>
    </row>
    <row r="145" spans="1:13" x14ac:dyDescent="0.3">
      <c r="A145" t="s">
        <v>45</v>
      </c>
      <c r="B145" t="s">
        <v>46</v>
      </c>
      <c r="C145" t="s">
        <v>47</v>
      </c>
      <c r="D145">
        <v>467842</v>
      </c>
      <c r="E145">
        <v>42.95</v>
      </c>
      <c r="F145">
        <v>-87.9</v>
      </c>
      <c r="G145">
        <v>2023</v>
      </c>
      <c r="H145" t="s">
        <v>16</v>
      </c>
      <c r="I145">
        <v>1353.759861</v>
      </c>
      <c r="J145">
        <v>8141.3066339999996</v>
      </c>
      <c r="K145">
        <v>-7032.0165779999998</v>
      </c>
      <c r="L145">
        <v>489.47315379999998</v>
      </c>
      <c r="M145">
        <v>10714.60219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Analysis</vt:lpstr>
      <vt:lpstr>Analysis-TMY only</vt:lpstr>
      <vt:lpstr>Analysis-AMY only</vt:lpstr>
      <vt:lpstr>Graphics</vt:lpstr>
      <vt:lpstr>pv_only</vt:lpstr>
      <vt:lpstr>pv_plus_batt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Mirletz, Brian</cp:lastModifiedBy>
  <dcterms:created xsi:type="dcterms:W3CDTF">2025-07-01T17:52:32Z</dcterms:created>
  <dcterms:modified xsi:type="dcterms:W3CDTF">2025-07-08T20:19:56Z</dcterms:modified>
</cp:coreProperties>
</file>