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irletz\source\repos\sam_dev\SAM-analyses\2025\battwatts_sensitivity\"/>
    </mc:Choice>
  </mc:AlternateContent>
  <xr:revisionPtr revIDLastSave="0" documentId="13_ncr:1_{31CBE448-8CA3-41FB-8FF8-B590B7CE5B6D}" xr6:coauthVersionLast="47" xr6:coauthVersionMax="47" xr10:uidLastSave="{00000000-0000-0000-0000-000000000000}"/>
  <bookViews>
    <workbookView xWindow="28680" yWindow="-120" windowWidth="29040" windowHeight="15720" xr2:uid="{0BF71174-60D2-864F-9DF0-C456186B9F38}"/>
  </bookViews>
  <sheets>
    <sheet name="battwatts_sensitivity_outputs_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8" i="1" l="1"/>
  <c r="Z14" i="1"/>
  <c r="Z6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2" i="1"/>
</calcChain>
</file>

<file path=xl/sharedStrings.xml><?xml version="1.0" encoding="utf-8"?>
<sst xmlns="http://schemas.openxmlformats.org/spreadsheetml/2006/main" count="129" uniqueCount="29">
  <si>
    <t>state_long</t>
  </si>
  <si>
    <t>utility</t>
  </si>
  <si>
    <t>building_id</t>
  </si>
  <si>
    <t>latitude</t>
  </si>
  <si>
    <t>longitude</t>
  </si>
  <si>
    <t>year</t>
  </si>
  <si>
    <t>run_type</t>
  </si>
  <si>
    <t>savings_year1_pvonly_anloss</t>
  </si>
  <si>
    <t>annual_energy_pvonly_anloss</t>
  </si>
  <si>
    <t>year_1_bill_pvonly_anloss</t>
  </si>
  <si>
    <t>savings_year1_withbattery_anloss</t>
  </si>
  <si>
    <t>annual_energy_withbattery_anloss</t>
  </si>
  <si>
    <t>year_1_bill_withbattery_anloss</t>
  </si>
  <si>
    <t>savings_year1_pvonly_3dshade</t>
  </si>
  <si>
    <t>annual_energy_pvonly_3dshade</t>
  </si>
  <si>
    <t>year_1_bill_pvonly_3dshade</t>
  </si>
  <si>
    <t>savings_year1_withbattery_3dshade</t>
  </si>
  <si>
    <t>annual_energy_withbattery_3dshade</t>
  </si>
  <si>
    <t>year_1_bill_withbattery_3dshade</t>
  </si>
  <si>
    <t>arizona</t>
  </si>
  <si>
    <t>aps</t>
  </si>
  <si>
    <t>tmy</t>
  </si>
  <si>
    <t>amy</t>
  </si>
  <si>
    <t>california</t>
  </si>
  <si>
    <t>sdge</t>
  </si>
  <si>
    <t>colorado</t>
  </si>
  <si>
    <t>xcel</t>
  </si>
  <si>
    <t>Savings - PV Only - Difference between Annual Loss and 3D Shade</t>
  </si>
  <si>
    <t>Savings - PV+BESS - Difference between Annual Loss and 3D Shade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</si>
</sst>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164" fontId="0" fillId="0" borderId="0" xfId="1" quotePrefix="1" applyNumberFormat="1" applyFont="1"/>
    <xf numFmtId="164" fontId="0" fillId="0" borderId="0" xfId="0" applyNumberFormat="1"/>
    <xf numFmtId="1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44A90-34B1-AC42-BC3E-0AD4CBB1EAC6}">
  <dimension ref="A1:Z37"/>
  <sheetViews>
    <sheetView tabSelected="1" topLeftCell="H1" workbookViewId="0">
      <selection activeCell="W22" sqref="W22"/>
    </sheetView>
  </sheetViews>
  <sheetFormatPr defaultColWidth="11" defaultRowHeight="15.75" x14ac:dyDescent="0.25"/>
  <cols>
    <col min="8" max="8" width="24.625" bestFit="1" customWidth="1"/>
    <col min="9" max="9" width="25.125" hidden="1" customWidth="1"/>
    <col min="10" max="10" width="22.125" hidden="1" customWidth="1"/>
    <col min="11" max="11" width="30.375" style="1" bestFit="1" customWidth="1"/>
    <col min="12" max="12" width="29.5" hidden="1" customWidth="1"/>
    <col min="13" max="13" width="26.375" hidden="1" customWidth="1"/>
    <col min="14" max="14" width="26.375" bestFit="1" customWidth="1"/>
    <col min="15" max="15" width="27" hidden="1" customWidth="1"/>
    <col min="16" max="16" width="0" hidden="1" customWidth="1"/>
    <col min="17" max="17" width="30.625" bestFit="1" customWidth="1"/>
    <col min="18" max="18" width="31.125" hidden="1" customWidth="1"/>
    <col min="19" max="19" width="28.125" hidden="1" customWidth="1"/>
    <col min="21" max="22" width="24.875" customWidth="1"/>
    <col min="23" max="23" width="35.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U1" t="s">
        <v>27</v>
      </c>
      <c r="W1" t="s">
        <v>28</v>
      </c>
    </row>
    <row r="2" spans="1:26" x14ac:dyDescent="0.25">
      <c r="A2" t="s">
        <v>19</v>
      </c>
      <c r="B2" t="s">
        <v>20</v>
      </c>
      <c r="C2">
        <v>112157</v>
      </c>
      <c r="D2">
        <v>35.14</v>
      </c>
      <c r="E2">
        <v>-111.67</v>
      </c>
      <c r="F2">
        <v>2018</v>
      </c>
      <c r="G2" t="s">
        <v>21</v>
      </c>
      <c r="H2" s="2">
        <v>871.14188731550098</v>
      </c>
      <c r="I2" s="2">
        <v>10661.061598165201</v>
      </c>
      <c r="J2" s="2">
        <v>759.72279751436895</v>
      </c>
      <c r="K2" s="2">
        <v>1097.76515011367</v>
      </c>
      <c r="L2" s="2">
        <v>10441.0822751384</v>
      </c>
      <c r="M2" s="2">
        <v>533.09953471619997</v>
      </c>
      <c r="N2" s="2">
        <v>873.71684706347196</v>
      </c>
      <c r="O2" s="2">
        <v>10658.5068982749</v>
      </c>
      <c r="P2" s="2">
        <v>757.14783776639604</v>
      </c>
      <c r="Q2" s="2">
        <v>1059.9330662554701</v>
      </c>
      <c r="R2" s="2">
        <v>10435.2320007902</v>
      </c>
      <c r="S2" s="2">
        <v>570.93161857439304</v>
      </c>
      <c r="U2" s="3">
        <f>H2-N2</f>
        <v>-2.5749597479709792</v>
      </c>
      <c r="V2" s="4">
        <f>U2/H2</f>
        <v>-2.9558442608080071E-3</v>
      </c>
      <c r="W2" s="3">
        <f>K2-Q2</f>
        <v>37.832083858199894</v>
      </c>
      <c r="X2" s="4">
        <f>W2/K2</f>
        <v>3.4462820990703254E-2</v>
      </c>
      <c r="Y2" s="4"/>
    </row>
    <row r="3" spans="1:26" x14ac:dyDescent="0.25">
      <c r="A3" t="s">
        <v>19</v>
      </c>
      <c r="B3" t="s">
        <v>20</v>
      </c>
      <c r="C3">
        <v>112157</v>
      </c>
      <c r="D3">
        <v>35.14</v>
      </c>
      <c r="E3">
        <v>-111.67</v>
      </c>
      <c r="F3">
        <v>2018</v>
      </c>
      <c r="G3" t="s">
        <v>22</v>
      </c>
      <c r="H3" s="2">
        <v>878.99907130511201</v>
      </c>
      <c r="I3" s="2">
        <v>10650.1045361704</v>
      </c>
      <c r="J3" s="2">
        <v>751.86561352475803</v>
      </c>
      <c r="K3" s="2">
        <v>1157.48609733033</v>
      </c>
      <c r="L3" s="2">
        <v>10424.148854644</v>
      </c>
      <c r="M3" s="2">
        <v>473.37858749954</v>
      </c>
      <c r="N3" s="2">
        <v>880.73047047687305</v>
      </c>
      <c r="O3" s="2">
        <v>10648.9047299424</v>
      </c>
      <c r="P3" s="1">
        <v>750.13421435299597</v>
      </c>
      <c r="Q3" s="2">
        <v>1211.9708189913599</v>
      </c>
      <c r="R3" s="2">
        <v>10415.226519858999</v>
      </c>
      <c r="S3" s="2">
        <v>418.89386583850899</v>
      </c>
      <c r="U3" s="3">
        <f t="shared" ref="U3:U37" si="0">H3-N3</f>
        <v>-1.7313991717610406</v>
      </c>
      <c r="V3" s="4">
        <f t="shared" ref="V3:V37" si="1">U3/H3</f>
        <v>-1.9697394778703347E-3</v>
      </c>
      <c r="W3" s="3">
        <f t="shared" ref="W3:W37" si="2">K3-Q3</f>
        <v>-54.48472166102988</v>
      </c>
      <c r="X3" s="4">
        <f t="shared" ref="X3:X37" si="3">W3/K3</f>
        <v>-4.7071599206846212E-2</v>
      </c>
      <c r="Y3" s="4"/>
    </row>
    <row r="4" spans="1:26" x14ac:dyDescent="0.25">
      <c r="A4" t="s">
        <v>19</v>
      </c>
      <c r="B4" t="s">
        <v>20</v>
      </c>
      <c r="C4">
        <v>112157</v>
      </c>
      <c r="D4">
        <v>35.14</v>
      </c>
      <c r="E4">
        <v>-111.67</v>
      </c>
      <c r="F4">
        <v>2019</v>
      </c>
      <c r="G4" t="s">
        <v>21</v>
      </c>
      <c r="H4" s="1">
        <v>868.71516887535199</v>
      </c>
      <c r="I4" s="2">
        <v>10661.061598165201</v>
      </c>
      <c r="J4" s="2">
        <v>717.66781298183298</v>
      </c>
      <c r="K4" s="2">
        <v>1108.95742993982</v>
      </c>
      <c r="L4" s="2">
        <v>10439.7300361043</v>
      </c>
      <c r="M4" s="2">
        <v>477.42555191736</v>
      </c>
      <c r="N4" s="2">
        <v>870.753735457473</v>
      </c>
      <c r="O4" s="2">
        <v>10658.5068982749</v>
      </c>
      <c r="P4" s="2">
        <v>715.62924639971004</v>
      </c>
      <c r="Q4" s="2">
        <v>1125.3787508185101</v>
      </c>
      <c r="R4" s="2">
        <v>10431.010523899</v>
      </c>
      <c r="S4" s="2">
        <v>461.00423103867399</v>
      </c>
      <c r="U4" s="3">
        <f t="shared" si="0"/>
        <v>-2.0385665821210068</v>
      </c>
      <c r="V4" s="4">
        <f t="shared" si="1"/>
        <v>-2.3466455463879571E-3</v>
      </c>
      <c r="W4" s="3">
        <f t="shared" si="2"/>
        <v>-16.42132087869004</v>
      </c>
      <c r="X4" s="4">
        <f t="shared" si="3"/>
        <v>-1.4807891119482539E-2</v>
      </c>
      <c r="Y4" s="4"/>
    </row>
    <row r="5" spans="1:26" x14ac:dyDescent="0.25">
      <c r="A5" t="s">
        <v>19</v>
      </c>
      <c r="B5" t="s">
        <v>20</v>
      </c>
      <c r="C5">
        <v>112157</v>
      </c>
      <c r="D5">
        <v>35.14</v>
      </c>
      <c r="E5">
        <v>-111.67</v>
      </c>
      <c r="F5">
        <v>2019</v>
      </c>
      <c r="G5" t="s">
        <v>22</v>
      </c>
      <c r="H5" s="2">
        <v>878.51454727058297</v>
      </c>
      <c r="I5" s="2">
        <v>10719.254722873</v>
      </c>
      <c r="J5" s="2">
        <v>707.86843458659803</v>
      </c>
      <c r="K5" s="2">
        <v>1153.1018314073201</v>
      </c>
      <c r="L5" s="2">
        <v>10491.345892658401</v>
      </c>
      <c r="M5" s="2">
        <v>433.281150449866</v>
      </c>
      <c r="N5" s="2">
        <v>881.31675757411199</v>
      </c>
      <c r="O5" s="2">
        <v>10717.3556606165</v>
      </c>
      <c r="P5" s="1">
        <v>705.06622428307003</v>
      </c>
      <c r="Q5" s="2">
        <v>1185.71366983336</v>
      </c>
      <c r="R5" s="2">
        <v>10481.408334301599</v>
      </c>
      <c r="S5" s="2">
        <v>400.669312023825</v>
      </c>
      <c r="U5" s="3">
        <f t="shared" si="0"/>
        <v>-2.8022103035290229</v>
      </c>
      <c r="V5" s="4">
        <f t="shared" si="1"/>
        <v>-3.1897141740396709E-3</v>
      </c>
      <c r="W5" s="3">
        <f t="shared" si="2"/>
        <v>-32.611838426039867</v>
      </c>
      <c r="X5" s="4">
        <f t="shared" si="3"/>
        <v>-2.8281837334555499E-2</v>
      </c>
      <c r="Y5" s="4"/>
    </row>
    <row r="6" spans="1:26" x14ac:dyDescent="0.25">
      <c r="A6" t="s">
        <v>19</v>
      </c>
      <c r="B6" t="s">
        <v>20</v>
      </c>
      <c r="C6">
        <v>112157</v>
      </c>
      <c r="D6">
        <v>35.14</v>
      </c>
      <c r="E6">
        <v>-111.67</v>
      </c>
      <c r="F6">
        <v>2020</v>
      </c>
      <c r="G6" t="s">
        <v>21</v>
      </c>
      <c r="H6" s="2">
        <v>848.24211970527699</v>
      </c>
      <c r="I6" s="2">
        <v>10661.061598165201</v>
      </c>
      <c r="J6" s="2">
        <v>868.69317214380601</v>
      </c>
      <c r="K6" s="2">
        <v>1038.8509497554601</v>
      </c>
      <c r="L6" s="2">
        <v>10441.217710200601</v>
      </c>
      <c r="M6" s="2">
        <v>678.08434209361894</v>
      </c>
      <c r="N6" s="2">
        <v>850.67267964360099</v>
      </c>
      <c r="O6" s="2">
        <v>10658.5068982749</v>
      </c>
      <c r="P6" s="2">
        <v>866.26261220547997</v>
      </c>
      <c r="Q6" s="2">
        <v>1041.64026429566</v>
      </c>
      <c r="R6" s="2">
        <v>10432.5267488716</v>
      </c>
      <c r="S6" s="2">
        <v>675.29502755341605</v>
      </c>
      <c r="U6" s="3">
        <f t="shared" si="0"/>
        <v>-2.4305599383239951</v>
      </c>
      <c r="V6" s="4">
        <f t="shared" si="1"/>
        <v>-2.8654082152493169E-3</v>
      </c>
      <c r="W6" s="3">
        <f t="shared" si="2"/>
        <v>-2.7893145401999391</v>
      </c>
      <c r="X6" s="4">
        <f t="shared" si="3"/>
        <v>-2.6849997498260255E-3</v>
      </c>
      <c r="Y6" s="4"/>
      <c r="Z6" s="4">
        <f>AVERAGE(X2:X13)</f>
        <v>-2.1078187762570127E-2</v>
      </c>
    </row>
    <row r="7" spans="1:26" x14ac:dyDescent="0.25">
      <c r="A7" t="s">
        <v>19</v>
      </c>
      <c r="B7" t="s">
        <v>20</v>
      </c>
      <c r="C7">
        <v>112157</v>
      </c>
      <c r="D7">
        <v>35.14</v>
      </c>
      <c r="E7">
        <v>-111.67</v>
      </c>
      <c r="F7">
        <v>2020</v>
      </c>
      <c r="G7" t="s">
        <v>22</v>
      </c>
      <c r="H7" s="2">
        <v>905.81868873150302</v>
      </c>
      <c r="I7" s="2">
        <v>11125.5083166556</v>
      </c>
      <c r="J7" s="2">
        <v>811.11660311757601</v>
      </c>
      <c r="K7" s="2">
        <v>1196.1722502960299</v>
      </c>
      <c r="L7" s="2">
        <v>10893.4539733736</v>
      </c>
      <c r="M7" s="2">
        <v>520.76304155305104</v>
      </c>
      <c r="N7" s="2">
        <v>909.15646214838205</v>
      </c>
      <c r="O7" s="2">
        <v>11121.8990182709</v>
      </c>
      <c r="P7" s="2">
        <v>807.77882970070004</v>
      </c>
      <c r="Q7" s="2">
        <v>1208.98370449292</v>
      </c>
      <c r="R7" s="2">
        <v>10884.5794921816</v>
      </c>
      <c r="S7" s="2">
        <v>507.951587356159</v>
      </c>
      <c r="U7" s="3">
        <f t="shared" si="0"/>
        <v>-3.3377734168790312</v>
      </c>
      <c r="V7" s="4">
        <f t="shared" si="1"/>
        <v>-3.6848140344213991E-3</v>
      </c>
      <c r="W7" s="3">
        <f t="shared" si="2"/>
        <v>-12.811454196890054</v>
      </c>
      <c r="X7" s="4">
        <f t="shared" si="3"/>
        <v>-1.0710375695239095E-2</v>
      </c>
      <c r="Y7" s="4"/>
    </row>
    <row r="8" spans="1:26" x14ac:dyDescent="0.25">
      <c r="A8" t="s">
        <v>19</v>
      </c>
      <c r="B8" t="s">
        <v>20</v>
      </c>
      <c r="C8">
        <v>112157</v>
      </c>
      <c r="D8">
        <v>35.14</v>
      </c>
      <c r="E8">
        <v>-111.67</v>
      </c>
      <c r="F8">
        <v>2021</v>
      </c>
      <c r="G8" t="s">
        <v>21</v>
      </c>
      <c r="H8" s="2">
        <v>854.083744079913</v>
      </c>
      <c r="I8" s="2">
        <v>10661.061598165201</v>
      </c>
      <c r="J8" s="2">
        <v>789.51280694743605</v>
      </c>
      <c r="K8" s="2">
        <v>1077.70365130036</v>
      </c>
      <c r="L8" s="2">
        <v>10439.8827024518</v>
      </c>
      <c r="M8" s="2">
        <v>565.89289972697804</v>
      </c>
      <c r="N8" s="2">
        <v>856.61134540459602</v>
      </c>
      <c r="O8" s="2">
        <v>10658.5068982749</v>
      </c>
      <c r="P8" s="2">
        <v>786.98520562274803</v>
      </c>
      <c r="Q8" s="2">
        <v>1139.38104584088</v>
      </c>
      <c r="R8" s="2">
        <v>10431.1633943938</v>
      </c>
      <c r="S8" s="2">
        <v>504.21550518646097</v>
      </c>
      <c r="U8" s="3">
        <f t="shared" si="0"/>
        <v>-2.5276013246830189</v>
      </c>
      <c r="V8" s="4">
        <f t="shared" si="1"/>
        <v>-2.9594303160587047E-3</v>
      </c>
      <c r="W8" s="3">
        <f t="shared" si="2"/>
        <v>-61.677394540520027</v>
      </c>
      <c r="X8" s="4">
        <f t="shared" si="3"/>
        <v>-5.7230384685158973E-2</v>
      </c>
      <c r="Y8" s="4"/>
    </row>
    <row r="9" spans="1:26" x14ac:dyDescent="0.25">
      <c r="A9" t="s">
        <v>19</v>
      </c>
      <c r="B9" t="s">
        <v>20</v>
      </c>
      <c r="C9">
        <v>112157</v>
      </c>
      <c r="D9">
        <v>35.14</v>
      </c>
      <c r="E9">
        <v>-111.67</v>
      </c>
      <c r="F9">
        <v>2021</v>
      </c>
      <c r="G9" t="s">
        <v>22</v>
      </c>
      <c r="H9" s="2">
        <v>883.51737451011502</v>
      </c>
      <c r="I9" s="2">
        <v>10742.5283501211</v>
      </c>
      <c r="J9" s="2">
        <v>760.07917651723096</v>
      </c>
      <c r="K9" s="2">
        <v>1128.83595299079</v>
      </c>
      <c r="L9" s="2">
        <v>10519.779001225501</v>
      </c>
      <c r="M9" s="2">
        <v>514.76059803655198</v>
      </c>
      <c r="N9" s="2">
        <v>886.60722913000598</v>
      </c>
      <c r="O9" s="2">
        <v>10741.579942424099</v>
      </c>
      <c r="P9" s="1">
        <v>756.98932189734103</v>
      </c>
      <c r="Q9" s="2">
        <v>1188.0563491206001</v>
      </c>
      <c r="R9" s="2">
        <v>10513.0273381853</v>
      </c>
      <c r="S9" s="2">
        <v>455.54020190673998</v>
      </c>
      <c r="U9" s="3">
        <f t="shared" si="0"/>
        <v>-3.0898546198909571</v>
      </c>
      <c r="V9" s="4">
        <f t="shared" si="1"/>
        <v>-3.4972199857463953E-3</v>
      </c>
      <c r="W9" s="3">
        <f t="shared" si="2"/>
        <v>-59.220396129810069</v>
      </c>
      <c r="X9" s="4">
        <f t="shared" si="3"/>
        <v>-5.2461472344948634E-2</v>
      </c>
      <c r="Y9" s="4"/>
    </row>
    <row r="10" spans="1:26" x14ac:dyDescent="0.25">
      <c r="A10" t="s">
        <v>19</v>
      </c>
      <c r="B10" t="s">
        <v>20</v>
      </c>
      <c r="C10">
        <v>112157</v>
      </c>
      <c r="D10">
        <v>35.14</v>
      </c>
      <c r="E10">
        <v>-111.67</v>
      </c>
      <c r="F10">
        <v>2022</v>
      </c>
      <c r="G10" t="s">
        <v>21</v>
      </c>
      <c r="H10" s="2">
        <v>856.333825588119</v>
      </c>
      <c r="I10" s="2">
        <v>10661.061598165201</v>
      </c>
      <c r="J10" s="2">
        <v>790.41393322235604</v>
      </c>
      <c r="K10" s="2">
        <v>1081.23745900124</v>
      </c>
      <c r="L10" s="2">
        <v>10438.301289242099</v>
      </c>
      <c r="M10" s="1">
        <v>565.51029980923295</v>
      </c>
      <c r="N10" s="2">
        <v>859.13823632636797</v>
      </c>
      <c r="O10" s="2">
        <v>10658.5068982749</v>
      </c>
      <c r="P10" s="2">
        <v>787.60952248410695</v>
      </c>
      <c r="Q10" s="2">
        <v>1109.78097007418</v>
      </c>
      <c r="R10" s="2">
        <v>10431.2665260595</v>
      </c>
      <c r="S10" s="2">
        <v>536.96678873629696</v>
      </c>
      <c r="U10" s="3">
        <f t="shared" si="0"/>
        <v>-2.8044107382489756</v>
      </c>
      <c r="V10" s="4">
        <f t="shared" si="1"/>
        <v>-3.2749036117111717E-3</v>
      </c>
      <c r="W10" s="3">
        <f t="shared" si="2"/>
        <v>-28.543511072939964</v>
      </c>
      <c r="X10" s="4">
        <f t="shared" si="3"/>
        <v>-2.6398929148557394E-2</v>
      </c>
      <c r="Y10" s="4"/>
    </row>
    <row r="11" spans="1:26" x14ac:dyDescent="0.25">
      <c r="A11" t="s">
        <v>19</v>
      </c>
      <c r="B11" t="s">
        <v>20</v>
      </c>
      <c r="C11">
        <v>112157</v>
      </c>
      <c r="D11">
        <v>35.14</v>
      </c>
      <c r="E11">
        <v>-111.67</v>
      </c>
      <c r="F11">
        <v>2022</v>
      </c>
      <c r="G11" t="s">
        <v>22</v>
      </c>
      <c r="H11" s="2">
        <v>877.67934716436196</v>
      </c>
      <c r="I11" s="2">
        <v>10700.7925953459</v>
      </c>
      <c r="J11" s="2">
        <v>769.06841164611399</v>
      </c>
      <c r="K11" s="2">
        <v>1181.3449438577099</v>
      </c>
      <c r="L11" s="2">
        <v>10481.689419369601</v>
      </c>
      <c r="M11" s="2">
        <v>465.40281495275798</v>
      </c>
      <c r="N11" s="2">
        <v>880.45922207796605</v>
      </c>
      <c r="O11" s="2">
        <v>10698.8404999472</v>
      </c>
      <c r="P11" s="2">
        <v>766.28853673250899</v>
      </c>
      <c r="Q11" s="2">
        <v>1239.1074899400601</v>
      </c>
      <c r="R11" s="2">
        <v>10469.9728309076</v>
      </c>
      <c r="S11" s="2">
        <v>407.64026887041501</v>
      </c>
      <c r="U11" s="3">
        <f t="shared" si="0"/>
        <v>-2.7798749136040897</v>
      </c>
      <c r="V11" s="4">
        <f t="shared" si="1"/>
        <v>-3.1673012730508124E-3</v>
      </c>
      <c r="W11" s="3">
        <f t="shared" si="2"/>
        <v>-57.762546082350127</v>
      </c>
      <c r="X11" s="4">
        <f t="shared" si="3"/>
        <v>-4.8895579891953624E-2</v>
      </c>
      <c r="Y11" s="4"/>
    </row>
    <row r="12" spans="1:26" x14ac:dyDescent="0.25">
      <c r="A12" t="s">
        <v>19</v>
      </c>
      <c r="B12" t="s">
        <v>20</v>
      </c>
      <c r="C12">
        <v>112157</v>
      </c>
      <c r="D12">
        <v>35.14</v>
      </c>
      <c r="E12">
        <v>-111.67</v>
      </c>
      <c r="F12">
        <v>2023</v>
      </c>
      <c r="G12" t="s">
        <v>21</v>
      </c>
      <c r="H12" s="1">
        <v>865.88470057163295</v>
      </c>
      <c r="I12" s="2">
        <v>10661.061598165201</v>
      </c>
      <c r="J12" s="2">
        <v>758.24342900733097</v>
      </c>
      <c r="K12" s="2">
        <v>1074.7352679340499</v>
      </c>
      <c r="L12" s="2">
        <v>10441.207607300399</v>
      </c>
      <c r="M12" s="2">
        <v>549.39286164491</v>
      </c>
      <c r="N12" s="2">
        <v>868.13689599576401</v>
      </c>
      <c r="O12" s="2">
        <v>10658.5068982749</v>
      </c>
      <c r="P12" s="2">
        <v>755.99123358319798</v>
      </c>
      <c r="Q12" s="2">
        <v>1076.9296920588299</v>
      </c>
      <c r="R12" s="2">
        <v>10433.9911074261</v>
      </c>
      <c r="S12" s="2">
        <v>547.19843752013196</v>
      </c>
      <c r="U12" s="3">
        <f t="shared" si="0"/>
        <v>-2.2521954241310596</v>
      </c>
      <c r="V12" s="4">
        <f t="shared" si="1"/>
        <v>-2.6010338589470662E-3</v>
      </c>
      <c r="W12" s="3">
        <f t="shared" si="2"/>
        <v>-2.194424124779971</v>
      </c>
      <c r="X12" s="4">
        <f t="shared" si="3"/>
        <v>-2.0418275925738298E-3</v>
      </c>
      <c r="Y12" s="4"/>
    </row>
    <row r="13" spans="1:26" x14ac:dyDescent="0.25">
      <c r="A13" t="s">
        <v>19</v>
      </c>
      <c r="B13" t="s">
        <v>20</v>
      </c>
      <c r="C13">
        <v>112157</v>
      </c>
      <c r="D13">
        <v>35.14</v>
      </c>
      <c r="E13">
        <v>-111.67</v>
      </c>
      <c r="F13">
        <v>2023</v>
      </c>
      <c r="G13" t="s">
        <v>22</v>
      </c>
      <c r="H13" s="2">
        <v>886.39272382770798</v>
      </c>
      <c r="I13" s="2">
        <v>10899.815068224099</v>
      </c>
      <c r="J13" s="2">
        <v>737.73540575125298</v>
      </c>
      <c r="K13" s="2">
        <v>1190.08772323775</v>
      </c>
      <c r="L13" s="2">
        <v>10673.596814852601</v>
      </c>
      <c r="M13" s="2">
        <v>434.04040634120702</v>
      </c>
      <c r="N13" s="2">
        <v>889.04736187264405</v>
      </c>
      <c r="O13" s="2">
        <v>10895.5289722622</v>
      </c>
      <c r="P13" s="2">
        <v>735.08076770631703</v>
      </c>
      <c r="Q13" s="1">
        <v>1186.2986950156801</v>
      </c>
      <c r="R13" s="2">
        <v>10661.2287522593</v>
      </c>
      <c r="S13" s="2">
        <v>437.82943456328502</v>
      </c>
      <c r="U13" s="3">
        <f t="shared" si="0"/>
        <v>-2.654638044936064</v>
      </c>
      <c r="V13" s="4">
        <f t="shared" si="1"/>
        <v>-2.9948779740345179E-3</v>
      </c>
      <c r="W13" s="3">
        <f t="shared" si="2"/>
        <v>3.7890282220698737</v>
      </c>
      <c r="X13" s="4">
        <f t="shared" si="3"/>
        <v>3.1838226275971086E-3</v>
      </c>
      <c r="Y13" s="4"/>
    </row>
    <row r="14" spans="1:26" x14ac:dyDescent="0.25">
      <c r="A14" t="s">
        <v>23</v>
      </c>
      <c r="B14" t="s">
        <v>24</v>
      </c>
      <c r="C14">
        <v>112157</v>
      </c>
      <c r="D14">
        <v>35.14</v>
      </c>
      <c r="E14">
        <v>-111.67</v>
      </c>
      <c r="F14">
        <v>2018</v>
      </c>
      <c r="G14" t="s">
        <v>21</v>
      </c>
      <c r="H14" s="2">
        <v>2231.47073285537</v>
      </c>
      <c r="I14" s="2">
        <v>10661.061598165201</v>
      </c>
      <c r="J14" s="2">
        <v>3242.9667645331201</v>
      </c>
      <c r="K14" s="2">
        <v>3407.4860394522002</v>
      </c>
      <c r="L14" s="2">
        <v>10444.2282818815</v>
      </c>
      <c r="M14" s="2">
        <v>2066.9514579362899</v>
      </c>
      <c r="N14" s="2">
        <v>2244.8358243103598</v>
      </c>
      <c r="O14" s="2">
        <v>10658.5068982749</v>
      </c>
      <c r="P14" s="2">
        <v>3229.6016730781198</v>
      </c>
      <c r="Q14" s="2">
        <v>3463.04718515788</v>
      </c>
      <c r="R14" s="2">
        <v>10431.884196221299</v>
      </c>
      <c r="S14" s="2">
        <v>2011.3903122306101</v>
      </c>
      <c r="U14" s="3">
        <f t="shared" si="0"/>
        <v>-13.365091454989852</v>
      </c>
      <c r="V14" s="4">
        <f t="shared" si="1"/>
        <v>-5.9893644394286988E-3</v>
      </c>
      <c r="W14" s="3">
        <f t="shared" si="2"/>
        <v>-55.561145705679792</v>
      </c>
      <c r="X14" s="4">
        <f t="shared" si="3"/>
        <v>-1.6305612132342589E-2</v>
      </c>
      <c r="Y14" s="4"/>
      <c r="Z14" s="4">
        <f>AVERAGE(X14:X25)</f>
        <v>-2.0411416672056013E-2</v>
      </c>
    </row>
    <row r="15" spans="1:26" x14ac:dyDescent="0.25">
      <c r="A15" t="s">
        <v>23</v>
      </c>
      <c r="B15" t="s">
        <v>24</v>
      </c>
      <c r="C15">
        <v>112157</v>
      </c>
      <c r="D15">
        <v>35.14</v>
      </c>
      <c r="E15">
        <v>-111.67</v>
      </c>
      <c r="F15">
        <v>2018</v>
      </c>
      <c r="G15" t="s">
        <v>22</v>
      </c>
      <c r="H15" s="2">
        <v>2255.8927693575602</v>
      </c>
      <c r="I15" s="2">
        <v>10650.1045361704</v>
      </c>
      <c r="J15" s="2">
        <v>3218.5447280309199</v>
      </c>
      <c r="K15" s="2">
        <v>3469.7858338763099</v>
      </c>
      <c r="L15" s="1">
        <v>10429.570526226</v>
      </c>
      <c r="M15" s="2">
        <v>2004.65166351218</v>
      </c>
      <c r="N15" s="2">
        <v>2269.0043627017099</v>
      </c>
      <c r="O15" s="2">
        <v>10648.9047299424</v>
      </c>
      <c r="P15" s="2">
        <v>3205.4331346867898</v>
      </c>
      <c r="Q15" s="2">
        <v>3536.12485324522</v>
      </c>
      <c r="R15" s="2">
        <v>10417.0463599044</v>
      </c>
      <c r="S15" s="2">
        <v>1938.3126441432701</v>
      </c>
      <c r="U15" s="3">
        <f t="shared" si="0"/>
        <v>-13.111593344149696</v>
      </c>
      <c r="V15" s="4">
        <f t="shared" si="1"/>
        <v>-5.812152741587826E-3</v>
      </c>
      <c r="W15" s="3">
        <f t="shared" si="2"/>
        <v>-66.339019368910158</v>
      </c>
      <c r="X15" s="4">
        <f t="shared" si="3"/>
        <v>-1.9119053032388107E-2</v>
      </c>
      <c r="Y15" s="4"/>
    </row>
    <row r="16" spans="1:26" x14ac:dyDescent="0.25">
      <c r="A16" t="s">
        <v>23</v>
      </c>
      <c r="B16" t="s">
        <v>24</v>
      </c>
      <c r="C16">
        <v>112157</v>
      </c>
      <c r="D16">
        <v>35.14</v>
      </c>
      <c r="E16">
        <v>-111.67</v>
      </c>
      <c r="F16">
        <v>2019</v>
      </c>
      <c r="G16" t="s">
        <v>21</v>
      </c>
      <c r="H16" s="2">
        <v>2184.2095261583499</v>
      </c>
      <c r="I16" s="2">
        <v>10661.061598165201</v>
      </c>
      <c r="J16" s="2">
        <v>3193.2994375458702</v>
      </c>
      <c r="K16" s="2">
        <v>3356.2834363684401</v>
      </c>
      <c r="L16" s="2">
        <v>10443.144194637</v>
      </c>
      <c r="M16" s="2">
        <v>2021.22552733579</v>
      </c>
      <c r="N16" s="2">
        <v>2194.3174870969801</v>
      </c>
      <c r="O16" s="2">
        <v>10658.5068982749</v>
      </c>
      <c r="P16" s="2">
        <v>3183.19147660725</v>
      </c>
      <c r="Q16" s="2">
        <v>3420.6157411335098</v>
      </c>
      <c r="R16" s="2">
        <v>10430.2779332399</v>
      </c>
      <c r="S16" s="2">
        <v>1956.8932225707299</v>
      </c>
      <c r="U16" s="3">
        <f t="shared" si="0"/>
        <v>-10.107960938630185</v>
      </c>
      <c r="V16" s="4">
        <f t="shared" si="1"/>
        <v>-4.6277432716852742E-3</v>
      </c>
      <c r="W16" s="3">
        <f t="shared" si="2"/>
        <v>-64.332304765069694</v>
      </c>
      <c r="X16" s="4">
        <f t="shared" si="3"/>
        <v>-1.9167721077418425E-2</v>
      </c>
      <c r="Y16" s="4"/>
    </row>
    <row r="17" spans="1:26" x14ac:dyDescent="0.25">
      <c r="A17" t="s">
        <v>23</v>
      </c>
      <c r="B17" t="s">
        <v>24</v>
      </c>
      <c r="C17">
        <v>112157</v>
      </c>
      <c r="D17">
        <v>35.14</v>
      </c>
      <c r="E17">
        <v>-111.67</v>
      </c>
      <c r="F17">
        <v>2019</v>
      </c>
      <c r="G17" t="s">
        <v>22</v>
      </c>
      <c r="H17" s="2">
        <v>2246.76821274862</v>
      </c>
      <c r="I17" s="2">
        <v>10719.254722873</v>
      </c>
      <c r="J17" s="2">
        <v>3130.7407509556201</v>
      </c>
      <c r="K17" s="2">
        <v>3469.6807798493701</v>
      </c>
      <c r="L17" s="2">
        <v>10494.686400897001</v>
      </c>
      <c r="M17" s="2">
        <v>1907.8281838548701</v>
      </c>
      <c r="N17" s="2">
        <v>2259.4795179427101</v>
      </c>
      <c r="O17" s="2">
        <v>10717.3556606165</v>
      </c>
      <c r="P17" s="1">
        <v>3118.02944576153</v>
      </c>
      <c r="Q17" s="2">
        <v>3516.7896185631498</v>
      </c>
      <c r="R17" s="2">
        <v>10484.5401748929</v>
      </c>
      <c r="S17" s="2">
        <v>1860.7193451410899</v>
      </c>
      <c r="U17" s="3">
        <f t="shared" si="0"/>
        <v>-12.711305194090073</v>
      </c>
      <c r="V17" s="4">
        <f t="shared" si="1"/>
        <v>-5.6575952614798183E-3</v>
      </c>
      <c r="W17" s="3">
        <f t="shared" si="2"/>
        <v>-47.108838713779733</v>
      </c>
      <c r="X17" s="4">
        <f t="shared" si="3"/>
        <v>-1.3577283243856479E-2</v>
      </c>
      <c r="Y17" s="4"/>
    </row>
    <row r="18" spans="1:26" x14ac:dyDescent="0.25">
      <c r="A18" t="s">
        <v>23</v>
      </c>
      <c r="B18" t="s">
        <v>24</v>
      </c>
      <c r="C18">
        <v>112157</v>
      </c>
      <c r="D18">
        <v>35.14</v>
      </c>
      <c r="E18">
        <v>-111.67</v>
      </c>
      <c r="F18">
        <v>2020</v>
      </c>
      <c r="G18" t="s">
        <v>21</v>
      </c>
      <c r="H18" s="1">
        <v>2320.9408489268199</v>
      </c>
      <c r="I18" s="2">
        <v>10661.061598165201</v>
      </c>
      <c r="J18" s="2">
        <v>3454.8281062480401</v>
      </c>
      <c r="K18" s="2">
        <v>3479.6953323197499</v>
      </c>
      <c r="L18" s="2">
        <v>10447.6491122759</v>
      </c>
      <c r="M18" s="2">
        <v>2296.07362285511</v>
      </c>
      <c r="N18" s="2">
        <v>2336.2172590791802</v>
      </c>
      <c r="O18" s="2">
        <v>10658.5068982749</v>
      </c>
      <c r="P18" s="1">
        <v>3439.5516960956802</v>
      </c>
      <c r="Q18" s="2">
        <v>3554.1459863252198</v>
      </c>
      <c r="R18" s="2">
        <v>10432.891780519099</v>
      </c>
      <c r="S18" s="2">
        <v>2221.6229688496301</v>
      </c>
      <c r="U18" s="3">
        <f t="shared" si="0"/>
        <v>-15.276410152360313</v>
      </c>
      <c r="V18" s="4">
        <f t="shared" si="1"/>
        <v>-6.581990299073746E-3</v>
      </c>
      <c r="W18" s="3">
        <f t="shared" si="2"/>
        <v>-74.450654005469914</v>
      </c>
      <c r="X18" s="4">
        <f t="shared" si="3"/>
        <v>-2.1395739251642225E-2</v>
      </c>
      <c r="Y18" s="4"/>
    </row>
    <row r="19" spans="1:26" x14ac:dyDescent="0.25">
      <c r="A19" t="s">
        <v>23</v>
      </c>
      <c r="B19" t="s">
        <v>24</v>
      </c>
      <c r="C19">
        <v>112157</v>
      </c>
      <c r="D19">
        <v>35.14</v>
      </c>
      <c r="E19">
        <v>-111.67</v>
      </c>
      <c r="F19">
        <v>2020</v>
      </c>
      <c r="G19" t="s">
        <v>22</v>
      </c>
      <c r="H19" s="2">
        <v>2423.3926171298199</v>
      </c>
      <c r="I19" s="2">
        <v>11125.5083166556</v>
      </c>
      <c r="J19" s="2">
        <v>3352.37633804504</v>
      </c>
      <c r="K19" s="2">
        <v>3626.4816652684899</v>
      </c>
      <c r="L19" s="2">
        <v>10904.311910106901</v>
      </c>
      <c r="M19" s="2">
        <v>2149.28728990636</v>
      </c>
      <c r="N19" s="2">
        <v>2441.00762011098</v>
      </c>
      <c r="O19" s="2">
        <v>11121.8990182709</v>
      </c>
      <c r="P19" s="2">
        <v>3334.7613350638699</v>
      </c>
      <c r="Q19" s="2">
        <v>3704.3212649024399</v>
      </c>
      <c r="R19" s="2">
        <v>10888.969310005699</v>
      </c>
      <c r="S19" s="2">
        <v>2071.44769027241</v>
      </c>
      <c r="U19" s="3">
        <f t="shared" si="0"/>
        <v>-17.61500298116016</v>
      </c>
      <c r="V19" s="4">
        <f t="shared" si="1"/>
        <v>-7.2687367522076317E-3</v>
      </c>
      <c r="W19" s="3">
        <f t="shared" si="2"/>
        <v>-77.839599633950002</v>
      </c>
      <c r="X19" s="4">
        <f t="shared" si="3"/>
        <v>-2.1464219819290628E-2</v>
      </c>
      <c r="Y19" s="4"/>
    </row>
    <row r="20" spans="1:26" x14ac:dyDescent="0.25">
      <c r="A20" t="s">
        <v>23</v>
      </c>
      <c r="B20" t="s">
        <v>24</v>
      </c>
      <c r="C20">
        <v>112157</v>
      </c>
      <c r="D20">
        <v>35.14</v>
      </c>
      <c r="E20">
        <v>-111.67</v>
      </c>
      <c r="F20">
        <v>2021</v>
      </c>
      <c r="G20" t="s">
        <v>21</v>
      </c>
      <c r="H20" s="2">
        <v>2247.1904731331001</v>
      </c>
      <c r="I20" s="2">
        <v>10661.061598165201</v>
      </c>
      <c r="J20" s="2">
        <v>3240.6759982590102</v>
      </c>
      <c r="K20" s="2">
        <v>3444.9373476273399</v>
      </c>
      <c r="L20" s="2">
        <v>10440.9174672422</v>
      </c>
      <c r="M20" s="2">
        <v>2042.9291237647799</v>
      </c>
      <c r="N20" s="2">
        <v>2260.7893684701698</v>
      </c>
      <c r="O20" s="2">
        <v>10658.5068982749</v>
      </c>
      <c r="P20" s="2">
        <v>3227.07710292193</v>
      </c>
      <c r="Q20" s="2">
        <v>3519.05813654443</v>
      </c>
      <c r="R20" s="2">
        <v>10426.446430713</v>
      </c>
      <c r="S20" s="2">
        <v>1968.80833484769</v>
      </c>
      <c r="U20" s="3">
        <f t="shared" si="0"/>
        <v>-13.598895337069735</v>
      </c>
      <c r="V20" s="4">
        <f t="shared" si="1"/>
        <v>-6.0515098740649914E-3</v>
      </c>
      <c r="W20" s="3">
        <f t="shared" si="2"/>
        <v>-74.120788917090067</v>
      </c>
      <c r="X20" s="4">
        <f t="shared" si="3"/>
        <v>-2.1515859778448478E-2</v>
      </c>
      <c r="Y20" s="4"/>
    </row>
    <row r="21" spans="1:26" x14ac:dyDescent="0.25">
      <c r="A21" t="s">
        <v>23</v>
      </c>
      <c r="B21" t="s">
        <v>24</v>
      </c>
      <c r="C21">
        <v>112157</v>
      </c>
      <c r="D21">
        <v>35.14</v>
      </c>
      <c r="E21">
        <v>-111.67</v>
      </c>
      <c r="F21">
        <v>2021</v>
      </c>
      <c r="G21" t="s">
        <v>22</v>
      </c>
      <c r="H21" s="1">
        <v>2266.7150689924802</v>
      </c>
      <c r="I21" s="2">
        <v>10742.5283501211</v>
      </c>
      <c r="J21" s="2">
        <v>3221.1514023996401</v>
      </c>
      <c r="K21" s="2">
        <v>3461.9072109563899</v>
      </c>
      <c r="L21" s="2">
        <v>10523.151647504999</v>
      </c>
      <c r="M21" s="2">
        <v>2025.9592604357299</v>
      </c>
      <c r="N21" s="1">
        <v>2282.24546082503</v>
      </c>
      <c r="O21" s="2">
        <v>10741.579942424099</v>
      </c>
      <c r="P21" s="2">
        <v>3205.6210105670798</v>
      </c>
      <c r="Q21" s="2">
        <v>3547.8186593985802</v>
      </c>
      <c r="R21" s="2">
        <v>10508.226155820499</v>
      </c>
      <c r="S21" s="2">
        <v>1940.0478119935401</v>
      </c>
      <c r="U21" s="3">
        <f t="shared" si="0"/>
        <v>-15.530391832549867</v>
      </c>
      <c r="V21" s="4">
        <f t="shared" si="1"/>
        <v>-6.8514971488908335E-3</v>
      </c>
      <c r="W21" s="3">
        <f t="shared" si="2"/>
        <v>-85.911448442190249</v>
      </c>
      <c r="X21" s="4">
        <f t="shared" si="3"/>
        <v>-2.4816219270780589E-2</v>
      </c>
      <c r="Y21" s="4"/>
    </row>
    <row r="22" spans="1:26" x14ac:dyDescent="0.25">
      <c r="A22" t="s">
        <v>23</v>
      </c>
      <c r="B22" t="s">
        <v>24</v>
      </c>
      <c r="C22">
        <v>112157</v>
      </c>
      <c r="D22">
        <v>35.14</v>
      </c>
      <c r="E22">
        <v>-111.67</v>
      </c>
      <c r="F22">
        <v>2022</v>
      </c>
      <c r="G22" t="s">
        <v>21</v>
      </c>
      <c r="H22" s="2">
        <v>2238.0043133906702</v>
      </c>
      <c r="I22" s="2">
        <v>10661.061598165201</v>
      </c>
      <c r="J22" s="2">
        <v>3242.29134863226</v>
      </c>
      <c r="K22" s="2">
        <v>3436.0311972968102</v>
      </c>
      <c r="L22" s="2">
        <v>10440.426426014301</v>
      </c>
      <c r="M22" s="2">
        <v>2044.26446472612</v>
      </c>
      <c r="N22" s="2">
        <v>2250.1304895369699</v>
      </c>
      <c r="O22" s="2">
        <v>10658.5068982749</v>
      </c>
      <c r="P22" s="2">
        <v>3230.1651724859498</v>
      </c>
      <c r="Q22" s="1">
        <v>3498.88085392416</v>
      </c>
      <c r="R22" s="2">
        <v>10427.4508037669</v>
      </c>
      <c r="S22" s="2">
        <v>1981.41480809877</v>
      </c>
      <c r="U22" s="3">
        <f t="shared" si="0"/>
        <v>-12.126176146299713</v>
      </c>
      <c r="V22" s="4">
        <f t="shared" si="1"/>
        <v>-5.4182988271046038E-3</v>
      </c>
      <c r="W22" s="3">
        <f t="shared" si="2"/>
        <v>-62.849656627349759</v>
      </c>
      <c r="X22" s="4">
        <f t="shared" si="3"/>
        <v>-1.8291352149769406E-2</v>
      </c>
      <c r="Y22" s="4"/>
    </row>
    <row r="23" spans="1:26" x14ac:dyDescent="0.25">
      <c r="A23" t="s">
        <v>23</v>
      </c>
      <c r="B23" t="s">
        <v>24</v>
      </c>
      <c r="C23">
        <v>112157</v>
      </c>
      <c r="D23">
        <v>35.14</v>
      </c>
      <c r="E23">
        <v>-111.67</v>
      </c>
      <c r="F23">
        <v>2022</v>
      </c>
      <c r="G23" t="s">
        <v>22</v>
      </c>
      <c r="H23" s="1">
        <v>2246.5082932393102</v>
      </c>
      <c r="I23" s="2">
        <v>10700.7925953459</v>
      </c>
      <c r="J23" s="2">
        <v>3233.78736878361</v>
      </c>
      <c r="K23" s="2">
        <v>3453.6276753306802</v>
      </c>
      <c r="L23" s="2">
        <v>10480.2211435796</v>
      </c>
      <c r="M23" s="2">
        <v>2026.66798669224</v>
      </c>
      <c r="N23" s="2">
        <v>2260.2064479732899</v>
      </c>
      <c r="O23" s="2">
        <v>10698.8404999472</v>
      </c>
      <c r="P23" s="2">
        <v>3220.0892140496398</v>
      </c>
      <c r="Q23" s="2">
        <v>3531.37008448293</v>
      </c>
      <c r="R23" s="2">
        <v>10465.464544184701</v>
      </c>
      <c r="S23" s="2">
        <v>1948.9255775399999</v>
      </c>
      <c r="U23" s="3">
        <f t="shared" si="0"/>
        <v>-13.698154733979663</v>
      </c>
      <c r="V23" s="4">
        <f t="shared" si="1"/>
        <v>-6.0975313446218656E-3</v>
      </c>
      <c r="W23" s="3">
        <f t="shared" si="2"/>
        <v>-77.74240915224982</v>
      </c>
      <c r="X23" s="4">
        <f t="shared" si="3"/>
        <v>-2.2510361990542623E-2</v>
      </c>
      <c r="Y23" s="4"/>
    </row>
    <row r="24" spans="1:26" x14ac:dyDescent="0.25">
      <c r="A24" t="s">
        <v>23</v>
      </c>
      <c r="B24" t="s">
        <v>24</v>
      </c>
      <c r="C24">
        <v>112157</v>
      </c>
      <c r="D24">
        <v>35.14</v>
      </c>
      <c r="E24">
        <v>-111.67</v>
      </c>
      <c r="F24">
        <v>2023</v>
      </c>
      <c r="G24" t="s">
        <v>21</v>
      </c>
      <c r="H24" s="2">
        <v>2199.6322730530501</v>
      </c>
      <c r="I24" s="2">
        <v>10661.061598165201</v>
      </c>
      <c r="J24" s="2">
        <v>3265.2483687839599</v>
      </c>
      <c r="K24" s="2">
        <v>3333.1067538984298</v>
      </c>
      <c r="L24" s="2">
        <v>10450.304014642301</v>
      </c>
      <c r="M24" s="2">
        <v>2131.7738879385902</v>
      </c>
      <c r="N24" s="2">
        <v>2211.1502977554401</v>
      </c>
      <c r="O24" s="2">
        <v>10658.5068982749</v>
      </c>
      <c r="P24" s="2">
        <v>3253.7303440815799</v>
      </c>
      <c r="Q24" s="2">
        <v>3407.7348852617001</v>
      </c>
      <c r="R24" s="2">
        <v>10434.5094364996</v>
      </c>
      <c r="S24" s="2">
        <v>2057.1457565753199</v>
      </c>
      <c r="U24" s="3">
        <f t="shared" si="0"/>
        <v>-11.518024702389994</v>
      </c>
      <c r="V24" s="4">
        <f t="shared" si="1"/>
        <v>-5.236341020948553E-3</v>
      </c>
      <c r="W24" s="3">
        <f t="shared" si="2"/>
        <v>-74.628131363270313</v>
      </c>
      <c r="X24" s="4">
        <f t="shared" si="3"/>
        <v>-2.23899613404175E-2</v>
      </c>
      <c r="Y24" s="4"/>
    </row>
    <row r="25" spans="1:26" x14ac:dyDescent="0.25">
      <c r="A25" t="s">
        <v>23</v>
      </c>
      <c r="B25" t="s">
        <v>24</v>
      </c>
      <c r="C25">
        <v>112157</v>
      </c>
      <c r="D25">
        <v>35.14</v>
      </c>
      <c r="E25">
        <v>-111.67</v>
      </c>
      <c r="F25">
        <v>2023</v>
      </c>
      <c r="G25" t="s">
        <v>22</v>
      </c>
      <c r="H25" s="2">
        <v>2282.2257762160498</v>
      </c>
      <c r="I25" s="2">
        <v>10899.815068224099</v>
      </c>
      <c r="J25" s="2">
        <v>3182.6548656209702</v>
      </c>
      <c r="K25" s="2">
        <v>3439.5605276331298</v>
      </c>
      <c r="L25" s="2">
        <v>10682.277000454</v>
      </c>
      <c r="M25" s="2">
        <v>2025.3201142038899</v>
      </c>
      <c r="N25" s="2">
        <v>2297.0524319639799</v>
      </c>
      <c r="O25" s="2">
        <v>10895.5289722622</v>
      </c>
      <c r="P25" s="2">
        <v>3167.8282098730401</v>
      </c>
      <c r="Q25" s="2">
        <v>3523.4294541108102</v>
      </c>
      <c r="R25" s="2">
        <v>10665.010238152299</v>
      </c>
      <c r="S25" s="2">
        <v>1941.45118772622</v>
      </c>
      <c r="U25" s="3">
        <f t="shared" si="0"/>
        <v>-14.82665574793009</v>
      </c>
      <c r="V25" s="4">
        <f t="shared" si="1"/>
        <v>-6.4965771145187989E-3</v>
      </c>
      <c r="W25" s="3">
        <f t="shared" si="2"/>
        <v>-83.868926477680361</v>
      </c>
      <c r="X25" s="4">
        <f t="shared" si="3"/>
        <v>-2.4383616977775129E-2</v>
      </c>
      <c r="Y25" s="4"/>
    </row>
    <row r="26" spans="1:26" x14ac:dyDescent="0.25">
      <c r="A26" t="s">
        <v>25</v>
      </c>
      <c r="B26" t="s">
        <v>26</v>
      </c>
      <c r="C26">
        <v>112157</v>
      </c>
      <c r="D26">
        <v>35.14</v>
      </c>
      <c r="E26">
        <v>-111.67</v>
      </c>
      <c r="F26">
        <v>2018</v>
      </c>
      <c r="G26" t="s">
        <v>21</v>
      </c>
      <c r="H26" s="2">
        <v>1576.8197124841399</v>
      </c>
      <c r="I26" s="2">
        <v>10661.061598165201</v>
      </c>
      <c r="J26" s="2">
        <v>435.25032109112101</v>
      </c>
      <c r="K26" s="2">
        <v>1667.8746394234599</v>
      </c>
      <c r="L26" s="2">
        <v>10544.204025265601</v>
      </c>
      <c r="M26" s="2">
        <v>344.19539415179901</v>
      </c>
      <c r="N26" s="2">
        <v>1591.6759517016601</v>
      </c>
      <c r="O26" s="2">
        <v>10658.5068982749</v>
      </c>
      <c r="P26" s="2">
        <v>420.39408187359902</v>
      </c>
      <c r="Q26" s="2">
        <v>1675.6481522274601</v>
      </c>
      <c r="R26" s="2">
        <v>10538.109846760401</v>
      </c>
      <c r="S26" s="2">
        <v>336.421881347799</v>
      </c>
      <c r="U26" s="3">
        <f t="shared" si="0"/>
        <v>-14.856239217520169</v>
      </c>
      <c r="V26" s="4">
        <f t="shared" si="1"/>
        <v>-9.4216473195375509E-3</v>
      </c>
      <c r="W26" s="3">
        <f t="shared" si="2"/>
        <v>-7.77351280400012</v>
      </c>
      <c r="X26" s="4">
        <f t="shared" si="3"/>
        <v>-4.6607296617251865E-3</v>
      </c>
      <c r="Y26" s="4"/>
    </row>
    <row r="27" spans="1:26" x14ac:dyDescent="0.25">
      <c r="A27" t="s">
        <v>25</v>
      </c>
      <c r="B27" t="s">
        <v>26</v>
      </c>
      <c r="C27">
        <v>112157</v>
      </c>
      <c r="D27">
        <v>35.14</v>
      </c>
      <c r="E27">
        <v>-111.67</v>
      </c>
      <c r="F27">
        <v>2018</v>
      </c>
      <c r="G27" t="s">
        <v>22</v>
      </c>
      <c r="H27" s="2">
        <v>1571.8338237150001</v>
      </c>
      <c r="I27" s="2">
        <v>10650.1045361704</v>
      </c>
      <c r="J27" s="2">
        <v>440.23620986025998</v>
      </c>
      <c r="K27" s="2">
        <v>1674.6341041344599</v>
      </c>
      <c r="L27" s="2">
        <v>10526.0684174745</v>
      </c>
      <c r="M27" s="2">
        <v>337.435929440807</v>
      </c>
      <c r="N27" s="2">
        <v>1586.4420181831299</v>
      </c>
      <c r="O27" s="2">
        <v>10648.9047299424</v>
      </c>
      <c r="P27" s="2">
        <v>425.62801539212899</v>
      </c>
      <c r="Q27" s="2">
        <v>1682.5791040648401</v>
      </c>
      <c r="R27" s="2">
        <v>10522.428523168401</v>
      </c>
      <c r="S27" s="2">
        <v>329.490929510424</v>
      </c>
      <c r="U27" s="3">
        <f t="shared" si="0"/>
        <v>-14.608194468129795</v>
      </c>
      <c r="V27" s="4">
        <f t="shared" si="1"/>
        <v>-9.2937270134597297E-3</v>
      </c>
      <c r="W27" s="3">
        <f t="shared" si="2"/>
        <v>-7.9449999303801633</v>
      </c>
      <c r="X27" s="4">
        <f t="shared" si="3"/>
        <v>-4.7443199148786966E-3</v>
      </c>
      <c r="Y27" s="4"/>
    </row>
    <row r="28" spans="1:26" x14ac:dyDescent="0.25">
      <c r="A28" t="s">
        <v>25</v>
      </c>
      <c r="B28" t="s">
        <v>26</v>
      </c>
      <c r="C28">
        <v>112157</v>
      </c>
      <c r="D28">
        <v>35.14</v>
      </c>
      <c r="E28">
        <v>-111.67</v>
      </c>
      <c r="F28">
        <v>2019</v>
      </c>
      <c r="G28" t="s">
        <v>21</v>
      </c>
      <c r="H28" s="2">
        <v>1576.8197124841399</v>
      </c>
      <c r="I28" s="2">
        <v>10661.061598165201</v>
      </c>
      <c r="J28" s="1">
        <v>399.66068771013198</v>
      </c>
      <c r="K28" s="2">
        <v>1664.314069823</v>
      </c>
      <c r="L28" s="2">
        <v>10547.7466630095</v>
      </c>
      <c r="M28" s="2">
        <v>312.16633037127798</v>
      </c>
      <c r="N28" s="2">
        <v>1591.6759517016601</v>
      </c>
      <c r="O28" s="2">
        <v>10658.5068982749</v>
      </c>
      <c r="P28" s="2">
        <v>384.80444849260999</v>
      </c>
      <c r="Q28" s="2">
        <v>1674.5125935352301</v>
      </c>
      <c r="R28" s="2">
        <v>10546.4961109385</v>
      </c>
      <c r="S28" s="2">
        <v>301.96780665904703</v>
      </c>
      <c r="U28" s="3">
        <f t="shared" si="0"/>
        <v>-14.856239217520169</v>
      </c>
      <c r="V28" s="4">
        <f t="shared" si="1"/>
        <v>-9.4216473195375509E-3</v>
      </c>
      <c r="W28" s="3">
        <f t="shared" si="2"/>
        <v>-10.198523712230099</v>
      </c>
      <c r="X28" s="4">
        <f t="shared" si="3"/>
        <v>-6.1277639221752854E-3</v>
      </c>
      <c r="Y28" s="4"/>
      <c r="Z28" s="4">
        <f>AVERAGE(X26:X37)</f>
        <v>-6.0222811411547658E-3</v>
      </c>
    </row>
    <row r="29" spans="1:26" x14ac:dyDescent="0.25">
      <c r="A29" t="s">
        <v>25</v>
      </c>
      <c r="B29" t="s">
        <v>26</v>
      </c>
      <c r="C29">
        <v>112157</v>
      </c>
      <c r="D29">
        <v>35.14</v>
      </c>
      <c r="E29">
        <v>-111.67</v>
      </c>
      <c r="F29">
        <v>2019</v>
      </c>
      <c r="G29" t="s">
        <v>22</v>
      </c>
      <c r="H29" s="2">
        <v>1591.6032041804499</v>
      </c>
      <c r="I29" s="2">
        <v>10719.254722873</v>
      </c>
      <c r="J29" s="2">
        <v>384.87719601382503</v>
      </c>
      <c r="K29" s="2">
        <v>1685.5828552866701</v>
      </c>
      <c r="L29" s="2">
        <v>10607.5100750363</v>
      </c>
      <c r="M29" s="2">
        <v>290.89754490760703</v>
      </c>
      <c r="N29" s="2">
        <v>1605.2886607958301</v>
      </c>
      <c r="O29" s="2">
        <v>10717.3556606165</v>
      </c>
      <c r="P29" s="2">
        <v>371.19173939844097</v>
      </c>
      <c r="Q29" s="2">
        <v>1695.5731031282301</v>
      </c>
      <c r="R29" s="2">
        <v>10605.7383075584</v>
      </c>
      <c r="S29" s="2">
        <v>280.90729706604702</v>
      </c>
      <c r="U29" s="3">
        <f t="shared" si="0"/>
        <v>-13.68545661538019</v>
      </c>
      <c r="V29" s="4">
        <f t="shared" si="1"/>
        <v>-8.5985354763262866E-3</v>
      </c>
      <c r="W29" s="3">
        <f t="shared" si="2"/>
        <v>-9.9902478415599489</v>
      </c>
      <c r="X29" s="4">
        <f t="shared" si="3"/>
        <v>-5.9268803133743844E-3</v>
      </c>
      <c r="Y29" s="4"/>
    </row>
    <row r="30" spans="1:26" x14ac:dyDescent="0.25">
      <c r="A30" t="s">
        <v>25</v>
      </c>
      <c r="B30" t="s">
        <v>26</v>
      </c>
      <c r="C30">
        <v>112157</v>
      </c>
      <c r="D30">
        <v>35.14</v>
      </c>
      <c r="E30">
        <v>-111.67</v>
      </c>
      <c r="F30">
        <v>2020</v>
      </c>
      <c r="G30" t="s">
        <v>21</v>
      </c>
      <c r="H30" s="2">
        <v>1576.8197124841399</v>
      </c>
      <c r="I30" s="2">
        <v>10661.061598165201</v>
      </c>
      <c r="J30" s="2">
        <v>531.26758811630702</v>
      </c>
      <c r="K30" s="2">
        <v>1665.0118336437499</v>
      </c>
      <c r="L30" s="2">
        <v>10537.9724902819</v>
      </c>
      <c r="M30" s="1">
        <v>443.07546695669703</v>
      </c>
      <c r="N30" s="2">
        <v>1591.6759517016601</v>
      </c>
      <c r="O30" s="2">
        <v>10658.5068982749</v>
      </c>
      <c r="P30" s="2">
        <v>516.41134889878504</v>
      </c>
      <c r="Q30" s="2">
        <v>1677.93598791554</v>
      </c>
      <c r="R30" s="2">
        <v>10533.821630979201</v>
      </c>
      <c r="S30" s="2">
        <v>430.15131268490802</v>
      </c>
      <c r="U30" s="3">
        <f t="shared" si="0"/>
        <v>-14.856239217520169</v>
      </c>
      <c r="V30" s="4">
        <f t="shared" si="1"/>
        <v>-9.4216473195375509E-3</v>
      </c>
      <c r="W30" s="3">
        <f t="shared" si="2"/>
        <v>-12.92415427179003</v>
      </c>
      <c r="X30" s="4">
        <f t="shared" si="3"/>
        <v>-7.7621996496604565E-3</v>
      </c>
      <c r="Y30" s="4"/>
    </row>
    <row r="31" spans="1:26" x14ac:dyDescent="0.25">
      <c r="A31" t="s">
        <v>25</v>
      </c>
      <c r="B31" t="s">
        <v>26</v>
      </c>
      <c r="C31">
        <v>112157</v>
      </c>
      <c r="D31">
        <v>35.14</v>
      </c>
      <c r="E31">
        <v>-111.67</v>
      </c>
      <c r="F31">
        <v>2020</v>
      </c>
      <c r="G31" t="s">
        <v>22</v>
      </c>
      <c r="H31" s="2">
        <v>1643.6203975395299</v>
      </c>
      <c r="I31" s="2">
        <v>11125.5083166556</v>
      </c>
      <c r="J31" s="2">
        <v>464.46690306091801</v>
      </c>
      <c r="K31" s="2">
        <v>1734.3619127583299</v>
      </c>
      <c r="L31" s="2">
        <v>10998.1673960386</v>
      </c>
      <c r="M31" s="2">
        <v>373.72538784211702</v>
      </c>
      <c r="N31" s="2">
        <v>1659.8419422556699</v>
      </c>
      <c r="O31" s="2">
        <v>11121.8990182709</v>
      </c>
      <c r="P31" s="2">
        <v>448.24535834477803</v>
      </c>
      <c r="Q31" s="1">
        <v>1747.9734064870499</v>
      </c>
      <c r="R31" s="2">
        <v>10989.039656097901</v>
      </c>
      <c r="S31" s="2">
        <v>360.113894113404</v>
      </c>
      <c r="U31" s="3">
        <f t="shared" si="0"/>
        <v>-16.221544716139988</v>
      </c>
      <c r="V31" s="4">
        <f t="shared" si="1"/>
        <v>-9.8693985183095495E-3</v>
      </c>
      <c r="W31" s="3">
        <f t="shared" si="2"/>
        <v>-13.611493728720006</v>
      </c>
      <c r="X31" s="4">
        <f t="shared" si="3"/>
        <v>-7.8481276765771917E-3</v>
      </c>
      <c r="Y31" s="4"/>
    </row>
    <row r="32" spans="1:26" x14ac:dyDescent="0.25">
      <c r="A32" t="s">
        <v>25</v>
      </c>
      <c r="B32" t="s">
        <v>26</v>
      </c>
      <c r="C32">
        <v>112157</v>
      </c>
      <c r="D32">
        <v>35.14</v>
      </c>
      <c r="E32">
        <v>-111.67</v>
      </c>
      <c r="F32">
        <v>2021</v>
      </c>
      <c r="G32" t="s">
        <v>21</v>
      </c>
      <c r="H32" s="2">
        <v>1576.8197124841399</v>
      </c>
      <c r="I32" s="2">
        <v>10661.061598165201</v>
      </c>
      <c r="J32" s="2">
        <v>437.17383966567701</v>
      </c>
      <c r="K32" s="2">
        <v>1672.05728806553</v>
      </c>
      <c r="L32" s="2">
        <v>10547.0935617381</v>
      </c>
      <c r="M32" s="2">
        <v>341.93626408428997</v>
      </c>
      <c r="N32" s="2">
        <v>1591.6759517016601</v>
      </c>
      <c r="O32" s="2">
        <v>10658.5068982749</v>
      </c>
      <c r="P32" s="2">
        <v>422.31760044815502</v>
      </c>
      <c r="Q32" s="2">
        <v>1679.55580219073</v>
      </c>
      <c r="R32" s="2">
        <v>10536.235453896699</v>
      </c>
      <c r="S32" s="2">
        <v>334.43774995909399</v>
      </c>
      <c r="U32" s="3">
        <f t="shared" si="0"/>
        <v>-14.856239217520169</v>
      </c>
      <c r="V32" s="4">
        <f t="shared" si="1"/>
        <v>-9.4216473195375509E-3</v>
      </c>
      <c r="W32" s="3">
        <f t="shared" si="2"/>
        <v>-7.4985141252000176</v>
      </c>
      <c r="X32" s="4">
        <f t="shared" si="3"/>
        <v>-4.4846035950570498E-3</v>
      </c>
      <c r="Y32" s="4"/>
    </row>
    <row r="33" spans="1:25" x14ac:dyDescent="0.25">
      <c r="A33" t="s">
        <v>25</v>
      </c>
      <c r="B33" t="s">
        <v>26</v>
      </c>
      <c r="C33">
        <v>112157</v>
      </c>
      <c r="D33">
        <v>35.14</v>
      </c>
      <c r="E33">
        <v>-111.67</v>
      </c>
      <c r="F33">
        <v>2021</v>
      </c>
      <c r="G33" t="s">
        <v>22</v>
      </c>
      <c r="H33" s="2">
        <v>1591.22585095006</v>
      </c>
      <c r="I33" s="2">
        <v>10742.5283501211</v>
      </c>
      <c r="J33" s="1">
        <v>422.76770119976101</v>
      </c>
      <c r="K33" s="2">
        <v>1687.20948902803</v>
      </c>
      <c r="L33" s="2">
        <v>10627.298487309799</v>
      </c>
      <c r="M33" s="2">
        <v>326.78406312178498</v>
      </c>
      <c r="N33" s="2">
        <v>1607.1750783131399</v>
      </c>
      <c r="O33" s="2">
        <v>10741.579942424099</v>
      </c>
      <c r="P33" s="2">
        <v>406.81847383667798</v>
      </c>
      <c r="Q33" s="2">
        <v>1697.71003600474</v>
      </c>
      <c r="R33" s="2">
        <v>10622.461614816701</v>
      </c>
      <c r="S33" s="2">
        <v>316.28351614507801</v>
      </c>
      <c r="U33" s="3">
        <f t="shared" si="0"/>
        <v>-15.949227363079899</v>
      </c>
      <c r="V33" s="4">
        <f t="shared" si="1"/>
        <v>-1.0023232939282143E-2</v>
      </c>
      <c r="W33" s="3">
        <f t="shared" si="2"/>
        <v>-10.500546976709984</v>
      </c>
      <c r="X33" s="4">
        <f t="shared" si="3"/>
        <v>-6.223617781310105E-3</v>
      </c>
      <c r="Y33" s="4"/>
    </row>
    <row r="34" spans="1:25" x14ac:dyDescent="0.25">
      <c r="A34" t="s">
        <v>25</v>
      </c>
      <c r="B34" t="s">
        <v>26</v>
      </c>
      <c r="C34">
        <v>112157</v>
      </c>
      <c r="D34">
        <v>35.14</v>
      </c>
      <c r="E34">
        <v>-111.67</v>
      </c>
      <c r="F34">
        <v>2022</v>
      </c>
      <c r="G34" t="s">
        <v>21</v>
      </c>
      <c r="H34" s="2">
        <v>1576.8197124841399</v>
      </c>
      <c r="I34" s="2">
        <v>10661.061598165201</v>
      </c>
      <c r="J34" s="2">
        <v>431.34044613364301</v>
      </c>
      <c r="K34" s="2">
        <v>1667.80780903185</v>
      </c>
      <c r="L34" s="2">
        <v>10538.775436513</v>
      </c>
      <c r="M34" s="2">
        <v>340.35234958593702</v>
      </c>
      <c r="N34" s="2">
        <v>1591.6759517016601</v>
      </c>
      <c r="O34" s="2">
        <v>10658.5068982749</v>
      </c>
      <c r="P34" s="2">
        <v>416.48420691612102</v>
      </c>
      <c r="Q34" s="2">
        <v>1676.7742823301201</v>
      </c>
      <c r="R34" s="2">
        <v>10536.653337116901</v>
      </c>
      <c r="S34" s="1">
        <v>331.38587628766999</v>
      </c>
      <c r="U34" s="3">
        <f t="shared" si="0"/>
        <v>-14.856239217520169</v>
      </c>
      <c r="V34" s="4">
        <f t="shared" si="1"/>
        <v>-9.4216473195375509E-3</v>
      </c>
      <c r="W34" s="3">
        <f t="shared" si="2"/>
        <v>-8.9664732982701025</v>
      </c>
      <c r="X34" s="4">
        <f t="shared" si="3"/>
        <v>-5.3762029711775204E-3</v>
      </c>
      <c r="Y34" s="4"/>
    </row>
    <row r="35" spans="1:25" x14ac:dyDescent="0.25">
      <c r="A35" t="s">
        <v>25</v>
      </c>
      <c r="B35" t="s">
        <v>26</v>
      </c>
      <c r="C35">
        <v>112157</v>
      </c>
      <c r="D35">
        <v>35.14</v>
      </c>
      <c r="E35">
        <v>-111.67</v>
      </c>
      <c r="F35">
        <v>2022</v>
      </c>
      <c r="G35" t="s">
        <v>22</v>
      </c>
      <c r="H35" s="2">
        <v>1580.2528062799199</v>
      </c>
      <c r="I35" s="2">
        <v>10700.7925953459</v>
      </c>
      <c r="J35" s="2">
        <v>427.90735233786597</v>
      </c>
      <c r="K35" s="2">
        <v>1673.59644845154</v>
      </c>
      <c r="L35" s="1">
        <v>10582.7711017726</v>
      </c>
      <c r="M35" s="2">
        <v>334.56371016624399</v>
      </c>
      <c r="N35" s="2">
        <v>1595.7992584874801</v>
      </c>
      <c r="O35" s="2">
        <v>10698.8404999472</v>
      </c>
      <c r="P35" s="2">
        <v>412.36090013030503</v>
      </c>
      <c r="Q35" s="2">
        <v>1686.9294043662101</v>
      </c>
      <c r="R35" s="2">
        <v>10579.3310474523</v>
      </c>
      <c r="S35" s="2">
        <v>321.23075425157299</v>
      </c>
      <c r="U35" s="3">
        <f t="shared" si="0"/>
        <v>-15.546452207560151</v>
      </c>
      <c r="V35" s="4">
        <f t="shared" si="1"/>
        <v>-9.8379526021270744E-3</v>
      </c>
      <c r="W35" s="3">
        <f t="shared" si="2"/>
        <v>-13.332955914670038</v>
      </c>
      <c r="X35" s="4">
        <f t="shared" si="3"/>
        <v>-7.9666492642273927E-3</v>
      </c>
      <c r="Y35" s="4"/>
    </row>
    <row r="36" spans="1:25" x14ac:dyDescent="0.25">
      <c r="A36" t="s">
        <v>25</v>
      </c>
      <c r="B36" t="s">
        <v>26</v>
      </c>
      <c r="C36">
        <v>112157</v>
      </c>
      <c r="D36">
        <v>35.14</v>
      </c>
      <c r="E36">
        <v>-111.67</v>
      </c>
      <c r="F36">
        <v>2023</v>
      </c>
      <c r="G36" t="s">
        <v>21</v>
      </c>
      <c r="H36" s="2">
        <v>1576.8197124841399</v>
      </c>
      <c r="I36" s="2">
        <v>10661.061598165201</v>
      </c>
      <c r="J36" s="2">
        <v>424.82407655673501</v>
      </c>
      <c r="K36" s="2">
        <v>1650.57637714515</v>
      </c>
      <c r="L36" s="2">
        <v>10549.2001231748</v>
      </c>
      <c r="M36" s="2">
        <v>351.06741189573</v>
      </c>
      <c r="N36" s="2">
        <v>1591.6759517016601</v>
      </c>
      <c r="O36" s="2">
        <v>10658.5068982749</v>
      </c>
      <c r="P36" s="2">
        <v>409.96783733921302</v>
      </c>
      <c r="Q36" s="2">
        <v>1660.04808319108</v>
      </c>
      <c r="R36" s="2">
        <v>10546.652628157201</v>
      </c>
      <c r="S36" s="2">
        <v>341.595705849794</v>
      </c>
      <c r="U36" s="3">
        <f t="shared" si="0"/>
        <v>-14.856239217520169</v>
      </c>
      <c r="V36" s="4">
        <f t="shared" si="1"/>
        <v>-9.4216473195375509E-3</v>
      </c>
      <c r="W36" s="3">
        <f t="shared" si="2"/>
        <v>-9.4717060459299773</v>
      </c>
      <c r="X36" s="4">
        <f t="shared" si="3"/>
        <v>-5.7384233635478996E-3</v>
      </c>
      <c r="Y36" s="4"/>
    </row>
    <row r="37" spans="1:25" x14ac:dyDescent="0.25">
      <c r="A37" t="s">
        <v>25</v>
      </c>
      <c r="B37" t="s">
        <v>26</v>
      </c>
      <c r="C37">
        <v>112157</v>
      </c>
      <c r="D37">
        <v>35.14</v>
      </c>
      <c r="E37">
        <v>-111.67</v>
      </c>
      <c r="F37">
        <v>2023</v>
      </c>
      <c r="G37" t="s">
        <v>22</v>
      </c>
      <c r="H37" s="2">
        <v>1623.6070779678701</v>
      </c>
      <c r="I37" s="2">
        <v>10899.815068224099</v>
      </c>
      <c r="J37" s="2">
        <v>378.03671107301</v>
      </c>
      <c r="K37" s="2">
        <v>1707.5264664502599</v>
      </c>
      <c r="L37" s="2">
        <v>10786.207426606699</v>
      </c>
      <c r="M37" s="2">
        <v>294.11732259062001</v>
      </c>
      <c r="N37" s="2">
        <v>1638.71051317089</v>
      </c>
      <c r="O37" s="2">
        <v>10895.5289722622</v>
      </c>
      <c r="P37" s="2">
        <v>362.93327586998902</v>
      </c>
      <c r="Q37" s="2">
        <v>1716.7605229800999</v>
      </c>
      <c r="R37" s="2">
        <v>10776.8857356966</v>
      </c>
      <c r="S37" s="1">
        <v>284.88326606077499</v>
      </c>
      <c r="U37" s="3">
        <f t="shared" si="0"/>
        <v>-15.103435203019899</v>
      </c>
      <c r="V37" s="4">
        <f t="shared" si="1"/>
        <v>-9.3023955167303007E-3</v>
      </c>
      <c r="W37" s="3">
        <f t="shared" si="2"/>
        <v>-9.2340565298400179</v>
      </c>
      <c r="X37" s="4">
        <f t="shared" si="3"/>
        <v>-5.4078555801459986E-3</v>
      </c>
      <c r="Y37" s="4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battwatts_sensitivity_outputs_s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Mirletz, Brian</cp:lastModifiedBy>
  <dcterms:created xsi:type="dcterms:W3CDTF">2025-11-25T19:11:11Z</dcterms:created>
  <dcterms:modified xsi:type="dcterms:W3CDTF">2026-01-06T23:55:32Z</dcterms:modified>
</cp:coreProperties>
</file>